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730FB6E6-68ED-45A5-9439-9A6C3A64DCC0}" xr6:coauthVersionLast="47" xr6:coauthVersionMax="47" xr10:uidLastSave="{00000000-0000-0000-0000-000000000000}"/>
  <bookViews>
    <workbookView xWindow="28680" yWindow="-120" windowWidth="29040" windowHeight="17520" activeTab="2" xr2:uid="{C9885265-92F8-4143-8AA0-FF6432230651}"/>
  </bookViews>
  <sheets>
    <sheet name="assumptions" sheetId="1" r:id="rId1"/>
    <sheet name="sensitivity_params_ECs" sheetId="3" r:id="rId2"/>
    <sheet name="sensitivity_params_projects" sheetId="2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J35" i="1"/>
  <c r="K35" i="1"/>
  <c r="M35" i="1"/>
  <c r="R35" i="1" s="1"/>
  <c r="N35" i="1"/>
  <c r="S35" i="1" s="1"/>
  <c r="O35" i="1"/>
  <c r="T35" i="1" s="1"/>
  <c r="P35" i="1"/>
  <c r="U35" i="1" s="1"/>
  <c r="W35" i="1"/>
  <c r="AB35" i="1" s="1"/>
  <c r="X35" i="1"/>
  <c r="AC35" i="1" s="1"/>
  <c r="Y35" i="1"/>
  <c r="AD35" i="1" s="1"/>
  <c r="Z35" i="1"/>
  <c r="AE35" i="1" s="1"/>
  <c r="AG35" i="1"/>
  <c r="AL35" i="1" s="1"/>
  <c r="AH35" i="1"/>
  <c r="AM35" i="1" s="1"/>
  <c r="AI35" i="1"/>
  <c r="AN35" i="1" s="1"/>
  <c r="AJ35" i="1"/>
  <c r="AO35" i="1" s="1"/>
  <c r="H36" i="1"/>
  <c r="I36" i="1"/>
  <c r="J36" i="1"/>
  <c r="K36" i="1"/>
  <c r="M36" i="1"/>
  <c r="R36" i="1" s="1"/>
  <c r="N36" i="1"/>
  <c r="S36" i="1" s="1"/>
  <c r="O36" i="1"/>
  <c r="T36" i="1" s="1"/>
  <c r="P36" i="1"/>
  <c r="U36" i="1" s="1"/>
  <c r="W36" i="1"/>
  <c r="AB36" i="1" s="1"/>
  <c r="X36" i="1"/>
  <c r="Y36" i="1"/>
  <c r="AD36" i="1" s="1"/>
  <c r="Z36" i="1"/>
  <c r="AE36" i="1" s="1"/>
  <c r="AC36" i="1"/>
  <c r="AG36" i="1"/>
  <c r="AL36" i="1" s="1"/>
  <c r="AH36" i="1"/>
  <c r="AM36" i="1" s="1"/>
  <c r="AI36" i="1"/>
  <c r="AN36" i="1" s="1"/>
  <c r="AJ36" i="1"/>
  <c r="AO36" i="1" s="1"/>
  <c r="H37" i="1"/>
  <c r="I37" i="1"/>
  <c r="J37" i="1"/>
  <c r="K37" i="1"/>
  <c r="M37" i="1"/>
  <c r="R37" i="1" s="1"/>
  <c r="N37" i="1"/>
  <c r="S37" i="1" s="1"/>
  <c r="O37" i="1"/>
  <c r="T37" i="1" s="1"/>
  <c r="P37" i="1"/>
  <c r="U37" i="1" s="1"/>
  <c r="W37" i="1"/>
  <c r="AB37" i="1" s="1"/>
  <c r="X37" i="1"/>
  <c r="AC37" i="1" s="1"/>
  <c r="Y37" i="1"/>
  <c r="AD37" i="1" s="1"/>
  <c r="Z37" i="1"/>
  <c r="AE37" i="1" s="1"/>
  <c r="AG37" i="1"/>
  <c r="AL37" i="1" s="1"/>
  <c r="AH37" i="1"/>
  <c r="AM37" i="1" s="1"/>
  <c r="AI37" i="1"/>
  <c r="AN37" i="1" s="1"/>
  <c r="AJ37" i="1"/>
  <c r="AO37" i="1" s="1"/>
  <c r="H38" i="1"/>
  <c r="I38" i="1"/>
  <c r="J38" i="1"/>
  <c r="K38" i="1"/>
  <c r="M38" i="1"/>
  <c r="R38" i="1" s="1"/>
  <c r="N38" i="1"/>
  <c r="S38" i="1" s="1"/>
  <c r="O38" i="1"/>
  <c r="T38" i="1" s="1"/>
  <c r="P38" i="1"/>
  <c r="U38" i="1" s="1"/>
  <c r="W38" i="1"/>
  <c r="AB38" i="1" s="1"/>
  <c r="X38" i="1"/>
  <c r="AC38" i="1" s="1"/>
  <c r="Y38" i="1"/>
  <c r="AD38" i="1" s="1"/>
  <c r="Z38" i="1"/>
  <c r="AE38" i="1" s="1"/>
  <c r="AG38" i="1"/>
  <c r="AL38" i="1" s="1"/>
  <c r="AH38" i="1"/>
  <c r="AM38" i="1" s="1"/>
  <c r="AI38" i="1"/>
  <c r="AN38" i="1" s="1"/>
  <c r="AJ38" i="1"/>
  <c r="AO38" i="1" s="1"/>
  <c r="H39" i="1"/>
  <c r="I39" i="1"/>
  <c r="J39" i="1"/>
  <c r="K39" i="1"/>
  <c r="M39" i="1"/>
  <c r="R39" i="1" s="1"/>
  <c r="N39" i="1"/>
  <c r="S39" i="1" s="1"/>
  <c r="O39" i="1"/>
  <c r="T39" i="1" s="1"/>
  <c r="P39" i="1"/>
  <c r="U39" i="1" s="1"/>
  <c r="W39" i="1"/>
  <c r="AB39" i="1" s="1"/>
  <c r="X39" i="1"/>
  <c r="AC39" i="1" s="1"/>
  <c r="Y39" i="1"/>
  <c r="AD39" i="1" s="1"/>
  <c r="Z39" i="1"/>
  <c r="AE39" i="1" s="1"/>
  <c r="AG39" i="1"/>
  <c r="AL39" i="1" s="1"/>
  <c r="AH39" i="1"/>
  <c r="AM39" i="1" s="1"/>
  <c r="AI39" i="1"/>
  <c r="AN39" i="1" s="1"/>
  <c r="AJ39" i="1"/>
  <c r="AO39" i="1" s="1"/>
  <c r="H40" i="1"/>
  <c r="I40" i="1"/>
  <c r="J40" i="1"/>
  <c r="K40" i="1"/>
  <c r="M40" i="1"/>
  <c r="R40" i="1" s="1"/>
  <c r="N40" i="1"/>
  <c r="S40" i="1" s="1"/>
  <c r="O40" i="1"/>
  <c r="P40" i="1"/>
  <c r="T40" i="1"/>
  <c r="U40" i="1"/>
  <c r="W40" i="1"/>
  <c r="AB40" i="1" s="1"/>
  <c r="X40" i="1"/>
  <c r="AC40" i="1" s="1"/>
  <c r="Y40" i="1"/>
  <c r="AD40" i="1" s="1"/>
  <c r="Z40" i="1"/>
  <c r="AE40" i="1" s="1"/>
  <c r="AG40" i="1"/>
  <c r="AL40" i="1" s="1"/>
  <c r="AH40" i="1"/>
  <c r="AM40" i="1" s="1"/>
  <c r="AI40" i="1"/>
  <c r="AJ40" i="1"/>
  <c r="AN40" i="1"/>
  <c r="AO40" i="1"/>
  <c r="H41" i="1"/>
  <c r="I41" i="1"/>
  <c r="J41" i="1"/>
  <c r="K41" i="1"/>
  <c r="M41" i="1"/>
  <c r="R41" i="1" s="1"/>
  <c r="N41" i="1"/>
  <c r="S41" i="1" s="1"/>
  <c r="O41" i="1"/>
  <c r="T41" i="1" s="1"/>
  <c r="P41" i="1"/>
  <c r="U41" i="1" s="1"/>
  <c r="W41" i="1"/>
  <c r="AB41" i="1" s="1"/>
  <c r="X41" i="1"/>
  <c r="AC41" i="1" s="1"/>
  <c r="Y41" i="1"/>
  <c r="AD41" i="1" s="1"/>
  <c r="Z41" i="1"/>
  <c r="AE41" i="1" s="1"/>
  <c r="AG41" i="1"/>
  <c r="AL41" i="1" s="1"/>
  <c r="AH41" i="1"/>
  <c r="AM41" i="1" s="1"/>
  <c r="AI41" i="1"/>
  <c r="AN41" i="1" s="1"/>
  <c r="AJ41" i="1"/>
  <c r="AO41" i="1" s="1"/>
  <c r="H42" i="1"/>
  <c r="I42" i="1"/>
  <c r="J42" i="1"/>
  <c r="K42" i="1"/>
  <c r="M42" i="1"/>
  <c r="R42" i="1" s="1"/>
  <c r="N42" i="1"/>
  <c r="S42" i="1" s="1"/>
  <c r="O42" i="1"/>
  <c r="T42" i="1" s="1"/>
  <c r="P42" i="1"/>
  <c r="U42" i="1" s="1"/>
  <c r="W42" i="1"/>
  <c r="AB42" i="1" s="1"/>
  <c r="X42" i="1"/>
  <c r="Y42" i="1"/>
  <c r="AD42" i="1" s="1"/>
  <c r="Z42" i="1"/>
  <c r="AE42" i="1" s="1"/>
  <c r="AC42" i="1"/>
  <c r="AG42" i="1"/>
  <c r="AL42" i="1" s="1"/>
  <c r="AH42" i="1"/>
  <c r="AM42" i="1" s="1"/>
  <c r="AI42" i="1"/>
  <c r="AN42" i="1" s="1"/>
  <c r="AJ42" i="1"/>
  <c r="AO42" i="1" s="1"/>
  <c r="H43" i="1"/>
  <c r="I43" i="1"/>
  <c r="J43" i="1"/>
  <c r="K43" i="1"/>
  <c r="M43" i="1"/>
  <c r="R43" i="1" s="1"/>
  <c r="N43" i="1"/>
  <c r="S43" i="1" s="1"/>
  <c r="O43" i="1"/>
  <c r="T43" i="1" s="1"/>
  <c r="P43" i="1"/>
  <c r="U43" i="1" s="1"/>
  <c r="W43" i="1"/>
  <c r="AB43" i="1" s="1"/>
  <c r="X43" i="1"/>
  <c r="AC43" i="1" s="1"/>
  <c r="Y43" i="1"/>
  <c r="AD43" i="1" s="1"/>
  <c r="Z43" i="1"/>
  <c r="AE43" i="1" s="1"/>
  <c r="AG43" i="1"/>
  <c r="AL43" i="1" s="1"/>
  <c r="AH43" i="1"/>
  <c r="AM43" i="1" s="1"/>
  <c r="AI43" i="1"/>
  <c r="AN43" i="1" s="1"/>
  <c r="AJ43" i="1"/>
  <c r="AO43" i="1" s="1"/>
  <c r="H44" i="1"/>
  <c r="I44" i="1"/>
  <c r="J44" i="1"/>
  <c r="K44" i="1"/>
  <c r="M44" i="1"/>
  <c r="N44" i="1"/>
  <c r="S44" i="1" s="1"/>
  <c r="O44" i="1"/>
  <c r="P44" i="1"/>
  <c r="U44" i="1" s="1"/>
  <c r="R44" i="1"/>
  <c r="T44" i="1"/>
  <c r="W44" i="1"/>
  <c r="AB44" i="1" s="1"/>
  <c r="X44" i="1"/>
  <c r="Y44" i="1"/>
  <c r="AD44" i="1" s="1"/>
  <c r="Z44" i="1"/>
  <c r="AE44" i="1" s="1"/>
  <c r="AC44" i="1"/>
  <c r="AG44" i="1"/>
  <c r="AL44" i="1" s="1"/>
  <c r="AH44" i="1"/>
  <c r="AI44" i="1"/>
  <c r="AN44" i="1" s="1"/>
  <c r="AJ44" i="1"/>
  <c r="AO44" i="1" s="1"/>
  <c r="AM44" i="1"/>
  <c r="K3" i="1"/>
  <c r="J3" i="1"/>
  <c r="I3" i="1"/>
  <c r="H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Z3" i="1"/>
  <c r="AE3" i="1" s="1"/>
  <c r="Y3" i="1"/>
  <c r="AD3" i="1" s="1"/>
  <c r="X3" i="1"/>
  <c r="AC3" i="1" s="1"/>
  <c r="W3" i="1"/>
  <c r="AB3" i="1" s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M4" i="1"/>
  <c r="R4" i="1" s="1"/>
  <c r="N4" i="1"/>
  <c r="S4" i="1" s="1"/>
  <c r="O4" i="1"/>
  <c r="T4" i="1" s="1"/>
  <c r="P4" i="1"/>
  <c r="U4" i="1" s="1"/>
  <c r="M5" i="1"/>
  <c r="R5" i="1" s="1"/>
  <c r="N5" i="1"/>
  <c r="S5" i="1" s="1"/>
  <c r="O5" i="1"/>
  <c r="T5" i="1" s="1"/>
  <c r="P5" i="1"/>
  <c r="U5" i="1" s="1"/>
  <c r="M6" i="1"/>
  <c r="R6" i="1" s="1"/>
  <c r="N6" i="1"/>
  <c r="S6" i="1" s="1"/>
  <c r="O6" i="1"/>
  <c r="T6" i="1" s="1"/>
  <c r="P6" i="1"/>
  <c r="U6" i="1" s="1"/>
  <c r="M7" i="1"/>
  <c r="R7" i="1" s="1"/>
  <c r="N7" i="1"/>
  <c r="S7" i="1" s="1"/>
  <c r="O7" i="1"/>
  <c r="T7" i="1" s="1"/>
  <c r="P7" i="1"/>
  <c r="U7" i="1" s="1"/>
  <c r="M8" i="1"/>
  <c r="R8" i="1" s="1"/>
  <c r="N8" i="1"/>
  <c r="S8" i="1" s="1"/>
  <c r="O8" i="1"/>
  <c r="T8" i="1" s="1"/>
  <c r="P8" i="1"/>
  <c r="U8" i="1" s="1"/>
  <c r="M9" i="1"/>
  <c r="R9" i="1" s="1"/>
  <c r="N9" i="1"/>
  <c r="S9" i="1" s="1"/>
  <c r="O9" i="1"/>
  <c r="T9" i="1" s="1"/>
  <c r="P9" i="1"/>
  <c r="U9" i="1" s="1"/>
  <c r="M10" i="1"/>
  <c r="R10" i="1" s="1"/>
  <c r="N10" i="1"/>
  <c r="S10" i="1" s="1"/>
  <c r="O10" i="1"/>
  <c r="T10" i="1" s="1"/>
  <c r="P10" i="1"/>
  <c r="U10" i="1" s="1"/>
  <c r="M11" i="1"/>
  <c r="R11" i="1" s="1"/>
  <c r="N11" i="1"/>
  <c r="S11" i="1" s="1"/>
  <c r="O11" i="1"/>
  <c r="T11" i="1" s="1"/>
  <c r="P11" i="1"/>
  <c r="U11" i="1" s="1"/>
  <c r="M12" i="1"/>
  <c r="R12" i="1" s="1"/>
  <c r="N12" i="1"/>
  <c r="S12" i="1" s="1"/>
  <c r="O12" i="1"/>
  <c r="T12" i="1" s="1"/>
  <c r="P12" i="1"/>
  <c r="U12" i="1" s="1"/>
  <c r="M13" i="1"/>
  <c r="R13" i="1" s="1"/>
  <c r="N13" i="1"/>
  <c r="S13" i="1" s="1"/>
  <c r="O13" i="1"/>
  <c r="T13" i="1" s="1"/>
  <c r="P13" i="1"/>
  <c r="U13" i="1" s="1"/>
  <c r="M14" i="1"/>
  <c r="R14" i="1" s="1"/>
  <c r="N14" i="1"/>
  <c r="S14" i="1" s="1"/>
  <c r="O14" i="1"/>
  <c r="T14" i="1" s="1"/>
  <c r="P14" i="1"/>
  <c r="U14" i="1" s="1"/>
  <c r="M15" i="1"/>
  <c r="R15" i="1" s="1"/>
  <c r="N15" i="1"/>
  <c r="S15" i="1" s="1"/>
  <c r="O15" i="1"/>
  <c r="T15" i="1" s="1"/>
  <c r="P15" i="1"/>
  <c r="U15" i="1" s="1"/>
  <c r="M16" i="1"/>
  <c r="R16" i="1" s="1"/>
  <c r="N16" i="1"/>
  <c r="S16" i="1" s="1"/>
  <c r="O16" i="1"/>
  <c r="T16" i="1" s="1"/>
  <c r="P16" i="1"/>
  <c r="U16" i="1" s="1"/>
  <c r="M17" i="1"/>
  <c r="R17" i="1" s="1"/>
  <c r="N17" i="1"/>
  <c r="S17" i="1" s="1"/>
  <c r="O17" i="1"/>
  <c r="T17" i="1" s="1"/>
  <c r="P17" i="1"/>
  <c r="U17" i="1" s="1"/>
  <c r="M18" i="1"/>
  <c r="R18" i="1" s="1"/>
  <c r="N18" i="1"/>
  <c r="S18" i="1" s="1"/>
  <c r="O18" i="1"/>
  <c r="T18" i="1" s="1"/>
  <c r="P18" i="1"/>
  <c r="U18" i="1" s="1"/>
  <c r="M19" i="1"/>
  <c r="R19" i="1" s="1"/>
  <c r="N19" i="1"/>
  <c r="S19" i="1" s="1"/>
  <c r="O19" i="1"/>
  <c r="T19" i="1" s="1"/>
  <c r="P19" i="1"/>
  <c r="U19" i="1" s="1"/>
  <c r="M20" i="1"/>
  <c r="R20" i="1" s="1"/>
  <c r="N20" i="1"/>
  <c r="S20" i="1" s="1"/>
  <c r="O20" i="1"/>
  <c r="T20" i="1" s="1"/>
  <c r="P20" i="1"/>
  <c r="U20" i="1" s="1"/>
  <c r="M21" i="1"/>
  <c r="R21" i="1" s="1"/>
  <c r="N21" i="1"/>
  <c r="S21" i="1" s="1"/>
  <c r="O21" i="1"/>
  <c r="T21" i="1" s="1"/>
  <c r="P21" i="1"/>
  <c r="U21" i="1" s="1"/>
  <c r="M22" i="1"/>
  <c r="R22" i="1" s="1"/>
  <c r="N22" i="1"/>
  <c r="S22" i="1" s="1"/>
  <c r="O22" i="1"/>
  <c r="T22" i="1" s="1"/>
  <c r="P22" i="1"/>
  <c r="U22" i="1" s="1"/>
  <c r="M23" i="1"/>
  <c r="R23" i="1" s="1"/>
  <c r="N23" i="1"/>
  <c r="S23" i="1" s="1"/>
  <c r="O23" i="1"/>
  <c r="T23" i="1" s="1"/>
  <c r="P23" i="1"/>
  <c r="U23" i="1" s="1"/>
  <c r="M24" i="1"/>
  <c r="R24" i="1" s="1"/>
  <c r="N24" i="1"/>
  <c r="S24" i="1" s="1"/>
  <c r="O24" i="1"/>
  <c r="T24" i="1" s="1"/>
  <c r="P24" i="1"/>
  <c r="U24" i="1" s="1"/>
  <c r="M25" i="1"/>
  <c r="R25" i="1" s="1"/>
  <c r="N25" i="1"/>
  <c r="S25" i="1" s="1"/>
  <c r="O25" i="1"/>
  <c r="T25" i="1" s="1"/>
  <c r="P25" i="1"/>
  <c r="U25" i="1" s="1"/>
  <c r="M26" i="1"/>
  <c r="R26" i="1" s="1"/>
  <c r="N26" i="1"/>
  <c r="S26" i="1" s="1"/>
  <c r="O26" i="1"/>
  <c r="T26" i="1" s="1"/>
  <c r="P26" i="1"/>
  <c r="U26" i="1" s="1"/>
  <c r="M27" i="1"/>
  <c r="R27" i="1" s="1"/>
  <c r="N27" i="1"/>
  <c r="S27" i="1" s="1"/>
  <c r="O27" i="1"/>
  <c r="T27" i="1" s="1"/>
  <c r="P27" i="1"/>
  <c r="U27" i="1" s="1"/>
  <c r="M28" i="1"/>
  <c r="R28" i="1" s="1"/>
  <c r="N28" i="1"/>
  <c r="S28" i="1" s="1"/>
  <c r="O28" i="1"/>
  <c r="T28" i="1" s="1"/>
  <c r="P28" i="1"/>
  <c r="U28" i="1" s="1"/>
  <c r="M29" i="1"/>
  <c r="R29" i="1" s="1"/>
  <c r="N29" i="1"/>
  <c r="S29" i="1" s="1"/>
  <c r="O29" i="1"/>
  <c r="T29" i="1" s="1"/>
  <c r="P29" i="1"/>
  <c r="U29" i="1" s="1"/>
  <c r="M30" i="1"/>
  <c r="R30" i="1" s="1"/>
  <c r="N30" i="1"/>
  <c r="S30" i="1" s="1"/>
  <c r="O30" i="1"/>
  <c r="T30" i="1" s="1"/>
  <c r="P30" i="1"/>
  <c r="U30" i="1" s="1"/>
  <c r="M31" i="1"/>
  <c r="R31" i="1" s="1"/>
  <c r="N31" i="1"/>
  <c r="S31" i="1" s="1"/>
  <c r="O31" i="1"/>
  <c r="T31" i="1" s="1"/>
  <c r="P31" i="1"/>
  <c r="U31" i="1" s="1"/>
  <c r="M32" i="1"/>
  <c r="R32" i="1" s="1"/>
  <c r="N32" i="1"/>
  <c r="S32" i="1" s="1"/>
  <c r="O32" i="1"/>
  <c r="T32" i="1" s="1"/>
  <c r="P32" i="1"/>
  <c r="U32" i="1" s="1"/>
  <c r="M33" i="1"/>
  <c r="R33" i="1" s="1"/>
  <c r="N33" i="1"/>
  <c r="S33" i="1" s="1"/>
  <c r="O33" i="1"/>
  <c r="T33" i="1" s="1"/>
  <c r="P33" i="1"/>
  <c r="U33" i="1" s="1"/>
  <c r="M34" i="1"/>
  <c r="R34" i="1" s="1"/>
  <c r="N34" i="1"/>
  <c r="S34" i="1" s="1"/>
  <c r="O34" i="1"/>
  <c r="T34" i="1" s="1"/>
  <c r="P34" i="1"/>
  <c r="U34" i="1" s="1"/>
  <c r="P3" i="1"/>
  <c r="U3" i="1" s="1"/>
  <c r="O3" i="1"/>
  <c r="T3" i="1" s="1"/>
  <c r="N3" i="1"/>
  <c r="S3" i="1" s="1"/>
  <c r="M3" i="1"/>
  <c r="R3" i="1" s="1"/>
</calcChain>
</file>

<file path=xl/sharedStrings.xml><?xml version="1.0" encoding="utf-8"?>
<sst xmlns="http://schemas.openxmlformats.org/spreadsheetml/2006/main" count="153" uniqueCount="48">
  <si>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</si>
  <si>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</si>
  <si>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</si>
  <si>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</si>
  <si>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</si>
  <si>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</si>
  <si>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</si>
  <si>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</si>
  <si>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</si>
  <si>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</si>
  <si>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</si>
  <si>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</si>
  <si>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</si>
  <si>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</si>
  <si>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</si>
  <si>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</si>
  <si>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</si>
  <si>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</si>
  <si>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</si>
  <si>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</si>
  <si>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</si>
  <si>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</si>
  <si>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initiate</t>
  </si>
  <si>
    <t>invest</t>
  </si>
  <si>
    <t>ind. learning</t>
  </si>
  <si>
    <t>col. Learning</t>
  </si>
  <si>
    <t>prof. cap.</t>
  </si>
  <si>
    <t>policy social learning</t>
  </si>
  <si>
    <t>policy prof. cap</t>
  </si>
  <si>
    <t>iteration</t>
  </si>
  <si>
    <t>step</t>
  </si>
  <si>
    <t>variable</t>
  </si>
  <si>
    <t>network</t>
  </si>
  <si>
    <t>scenario</t>
  </si>
  <si>
    <t>run1</t>
  </si>
  <si>
    <t>SMALL_WORLD_SIMILAR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</si>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</sst>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3</xdr:row>
      <xdr:rowOff>102870</xdr:rowOff>
    </xdr:from>
    <xdr:to>
      <xdr:col>15</xdr:col>
      <xdr:colOff>243840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274320</xdr:colOff>
      <xdr:row>3</xdr:row>
      <xdr:rowOff>156210</xdr:rowOff>
    </xdr:from>
    <xdr:to>
      <xdr:col>19</xdr:col>
      <xdr:colOff>396240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4"/>
  <sheetViews>
    <sheetView workbookViewId="0">
      <selection activeCell="F27" sqref="F27"/>
    </sheetView>
  </sheetViews>
  <sheetFormatPr defaultRowHeight="14.4" x14ac:dyDescent="0.3"/>
  <cols>
    <col min="8" max="11" bestFit="true" customWidth="true" width="9.0"/>
    <col min="13" max="16" bestFit="true" customWidth="true" width="9.5546875"/>
  </cols>
  <sheetData>
    <row r="1" spans="1:41" x14ac:dyDescent="0.3">
      <c r="B1" t="s" s="0">
        <v>1</v>
      </c>
      <c r="C1" t="s" s="0">
        <v>2</v>
      </c>
      <c r="D1" t="s" s="0">
        <v>3</v>
      </c>
      <c r="E1" t="s" s="0">
        <v>4</v>
      </c>
      <c r="H1" t="s" s="0">
        <v>15</v>
      </c>
      <c r="M1" t="s" s="0">
        <v>16</v>
      </c>
      <c r="R1" t="s" s="0">
        <v>17</v>
      </c>
      <c r="W1" t="s" s="0">
        <v>18</v>
      </c>
      <c r="AB1" t="s" s="0">
        <v>19</v>
      </c>
      <c r="AG1" t="s" s="0">
        <v>20</v>
      </c>
      <c r="AL1" t="s" s="0">
        <v>21</v>
      </c>
    </row>
    <row r="2" spans="1:41" x14ac:dyDescent="0.3">
      <c r="A2" t="s" s="0">
        <v>5</v>
      </c>
      <c r="B2" s="0">
        <v>0.71</v>
      </c>
      <c r="C2" s="0">
        <v>0.71</v>
      </c>
      <c r="H2" t="s" s="0">
        <v>1</v>
      </c>
      <c r="I2" t="s" s="0">
        <v>12</v>
      </c>
      <c r="J2" t="s" s="0">
        <v>13</v>
      </c>
      <c r="K2" t="s" s="0">
        <v>14</v>
      </c>
      <c r="M2" t="s" s="0">
        <v>1</v>
      </c>
      <c r="N2" t="s" s="0">
        <v>12</v>
      </c>
      <c r="O2" t="s" s="0">
        <v>13</v>
      </c>
      <c r="P2" t="s" s="0">
        <v>14</v>
      </c>
      <c r="R2" t="s" s="0">
        <v>1</v>
      </c>
      <c r="S2" t="s" s="0">
        <v>12</v>
      </c>
      <c r="T2" t="s" s="0">
        <v>13</v>
      </c>
      <c r="U2" t="s" s="0">
        <v>14</v>
      </c>
      <c r="W2" t="s" s="0">
        <v>1</v>
      </c>
      <c r="X2" t="s" s="0">
        <v>12</v>
      </c>
      <c r="Y2" t="s" s="0">
        <v>13</v>
      </c>
      <c r="Z2" t="s" s="0">
        <v>14</v>
      </c>
      <c r="AB2" t="s" s="0">
        <v>1</v>
      </c>
      <c r="AC2" t="s" s="0">
        <v>12</v>
      </c>
      <c r="AD2" t="s" s="0">
        <v>13</v>
      </c>
      <c r="AE2" t="s" s="0">
        <v>14</v>
      </c>
      <c r="AG2" t="s" s="0">
        <v>1</v>
      </c>
      <c r="AH2" t="s" s="0">
        <v>12</v>
      </c>
      <c r="AI2" t="s" s="0">
        <v>13</v>
      </c>
      <c r="AJ2" t="s" s="0">
        <v>14</v>
      </c>
      <c r="AL2" t="s" s="0">
        <v>1</v>
      </c>
      <c r="AM2" t="s" s="0">
        <v>12</v>
      </c>
      <c r="AN2" t="s" s="0">
        <v>13</v>
      </c>
      <c r="AO2" t="s" s="0">
        <v>14</v>
      </c>
    </row>
    <row r="3" spans="1:41" x14ac:dyDescent="0.3">
      <c r="A3" t="s" s="0">
        <v>6</v>
      </c>
      <c r="B3" s="0">
        <v>0.66</v>
      </c>
      <c r="C3" s="0">
        <v>0.66</v>
      </c>
      <c r="G3" s="0">
        <v>2009</v>
      </c>
      <c r="H3" s="1" t="e">
        <f>AVERAGE(sensitivity_params_ECs!#REF!)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AVERAGE(sensitivity_params_projects!#REF!)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_xlfn.STDEV.S(sensitivity_params_ECs!#REF!)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 s="0">
        <f>_xlfn.CONFIDENCE.T(0.01, W3, 30)</f>
        <v>#REF!</v>
      </c>
      <c r="AC3" t="e" s="0">
        <f t="shared" ref="AC3:AE3" si="1">_xlfn.CONFIDENCE.T(0.01, X3, 30)</f>
        <v>#REF!</v>
      </c>
      <c r="AD3" t="e" s="0">
        <f t="shared" si="1"/>
        <v>#REF!</v>
      </c>
      <c r="AE3" t="e" s="0">
        <f t="shared" si="1"/>
        <v>#REF!</v>
      </c>
      <c r="AG3" s="1" t="e">
        <f>_xlfn.STDEV.S(sensitivity_params_projects!#REF!)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 s="0">
        <f>_xlfn.CONFIDENCE.T(0.01, AG3, 30)</f>
        <v>#REF!</v>
      </c>
      <c r="AM3" t="e" s="0">
        <f t="shared" ref="AM3:AM34" si="2">_xlfn.CONFIDENCE.T(0.01, AH3, 30)</f>
        <v>#REF!</v>
      </c>
      <c r="AN3" t="e" s="0">
        <f t="shared" ref="AN3:AN34" si="3">_xlfn.CONFIDENCE.T(0.01, AI3, 30)</f>
        <v>#REF!</v>
      </c>
      <c r="AO3" t="e" s="0">
        <f t="shared" ref="AO3:AO34" si="4">_xlfn.CONFIDENCE.T(0.01, AJ3, 30)</f>
        <v>#REF!</v>
      </c>
    </row>
    <row r="4" spans="1:41" x14ac:dyDescent="0.3">
      <c r="A4" t="s" s="0">
        <v>7</v>
      </c>
      <c r="B4" s="0">
        <v>0.7</v>
      </c>
      <c r="C4" s="0">
        <v>0.7</v>
      </c>
      <c r="G4" s="0">
        <v>2010</v>
      </c>
      <c r="H4" s="1" t="e">
        <f>AVERAGE(sensitivity_params_ECs!#REF!)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AVERAGE(sensitivity_params_projects!#REF!)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34" si="5">M4*99/302660</f>
        <v>#REF!</v>
      </c>
      <c r="S4" s="2" t="e">
        <f t="shared" ref="S4:S34" si="6">N4*99/302660</f>
        <v>#REF!</v>
      </c>
      <c r="T4" s="2" t="e">
        <f t="shared" ref="T4:T34" si="7">O4*99/302660</f>
        <v>#REF!</v>
      </c>
      <c r="U4" s="2" t="e">
        <f t="shared" ref="U4:U34" si="8">P4*99/302660</f>
        <v>#REF!</v>
      </c>
      <c r="W4" s="1" t="e">
        <f>_xlfn.STDEV.S(sensitivity_params_ECs!#REF!)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 s="0">
        <f t="shared" ref="AB4:AB34" si="9">_xlfn.CONFIDENCE.T(0.01, W4, 30)</f>
        <v>#REF!</v>
      </c>
      <c r="AC4" t="e" s="0">
        <f t="shared" ref="AC4:AC34" si="10">_xlfn.CONFIDENCE.T(0.01, X4, 30)</f>
        <v>#REF!</v>
      </c>
      <c r="AD4" t="e" s="0">
        <f t="shared" ref="AD4:AD34" si="11">_xlfn.CONFIDENCE.T(0.01, Y4, 30)</f>
        <v>#REF!</v>
      </c>
      <c r="AE4" t="e" s="0">
        <f t="shared" ref="AE4:AE34" si="12">_xlfn.CONFIDENCE.T(0.01, Z4, 30)</f>
        <v>#REF!</v>
      </c>
      <c r="AG4" s="1" t="e">
        <f>_xlfn.STDEV.S(sensitivity_params_projects!#REF!)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 s="0">
        <f t="shared" ref="AL4:AL34" si="13">_xlfn.CONFIDENCE.T(0.01, AG4, 30)</f>
        <v>#REF!</v>
      </c>
      <c r="AM4" t="e" s="0">
        <f t="shared" si="2"/>
        <v>#REF!</v>
      </c>
      <c r="AN4" t="e" s="0">
        <f t="shared" si="3"/>
        <v>#REF!</v>
      </c>
      <c r="AO4" t="e" s="0">
        <f t="shared" si="4"/>
        <v>#REF!</v>
      </c>
    </row>
    <row r="5" spans="1:41" x14ac:dyDescent="0.3">
      <c r="A5" t="s" s="0">
        <v>8</v>
      </c>
      <c r="B5" s="0">
        <v>0.01</v>
      </c>
      <c r="C5" s="0">
        <v>1E-3</v>
      </c>
      <c r="G5" s="0">
        <v>2011</v>
      </c>
      <c r="H5" s="1" t="e">
        <f>AVERAGE(sensitivity_params_ECs!#REF!)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AVERAGE(sensitivity_params_projects!#REF!)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_xlfn.STDEV.S(sensitivity_params_ECs!#REF!)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 s="0">
        <f t="shared" si="9"/>
        <v>#REF!</v>
      </c>
      <c r="AC5" t="e" s="0">
        <f t="shared" si="10"/>
        <v>#REF!</v>
      </c>
      <c r="AD5" t="e" s="0">
        <f t="shared" si="11"/>
        <v>#REF!</v>
      </c>
      <c r="AE5" t="e" s="0">
        <f t="shared" si="12"/>
        <v>#REF!</v>
      </c>
      <c r="AG5" s="1" t="e">
        <f>_xlfn.STDEV.S(sensitivity_params_projects!#REF!)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 s="0">
        <f t="shared" si="13"/>
        <v>#REF!</v>
      </c>
      <c r="AM5" t="e" s="0">
        <f t="shared" si="2"/>
        <v>#REF!</v>
      </c>
      <c r="AN5" t="e" s="0">
        <f t="shared" si="3"/>
        <v>#REF!</v>
      </c>
      <c r="AO5" t="e" s="0">
        <f t="shared" si="4"/>
        <v>#REF!</v>
      </c>
    </row>
    <row r="6" spans="1:41" x14ac:dyDescent="0.3">
      <c r="A6" t="s" s="0">
        <v>9</v>
      </c>
      <c r="B6" s="0">
        <v>2.5000000000000001E-2</v>
      </c>
      <c r="C6" s="0">
        <v>0.05</v>
      </c>
      <c r="G6" s="0">
        <v>2012</v>
      </c>
      <c r="H6" s="1" t="e">
        <f>AVERAGE(sensitivity_params_ECs!#REF!)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AVERAGE(sensitivity_params_projects!#REF!)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_xlfn.STDEV.S(sensitivity_params_ECs!#REF!)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 s="0">
        <f t="shared" si="9"/>
        <v>#REF!</v>
      </c>
      <c r="AC6" t="e" s="0">
        <f t="shared" si="10"/>
        <v>#REF!</v>
      </c>
      <c r="AD6" t="e" s="0">
        <f t="shared" si="11"/>
        <v>#REF!</v>
      </c>
      <c r="AE6" t="e" s="0">
        <f t="shared" si="12"/>
        <v>#REF!</v>
      </c>
      <c r="AG6" s="1" t="e">
        <f>_xlfn.STDEV.S(sensitivity_params_projects!#REF!)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 s="0">
        <f t="shared" si="13"/>
        <v>#REF!</v>
      </c>
      <c r="AM6" t="e" s="0">
        <f t="shared" si="2"/>
        <v>#REF!</v>
      </c>
      <c r="AN6" t="e" s="0">
        <f t="shared" si="3"/>
        <v>#REF!</v>
      </c>
      <c r="AO6" t="e" s="0">
        <f t="shared" si="4"/>
        <v>#REF!</v>
      </c>
    </row>
    <row r="7" spans="1:41" x14ac:dyDescent="0.3">
      <c r="A7" t="s" s="0">
        <v>10</v>
      </c>
      <c r="B7" t="s" s="0">
        <v>11</v>
      </c>
      <c r="C7" t="s" s="0">
        <v>11</v>
      </c>
      <c r="D7" t="s" s="0">
        <v>11</v>
      </c>
      <c r="E7" t="s" s="0">
        <v>11</v>
      </c>
      <c r="G7" s="0">
        <v>2013</v>
      </c>
      <c r="H7" s="1" t="e">
        <f>AVERAGE(sensitivity_params_ECs!#REF!)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AVERAGE(sensitivity_params_projects!#REF!)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_xlfn.STDEV.S(sensitivity_params_ECs!#REF!)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 s="0">
        <f t="shared" si="9"/>
        <v>#REF!</v>
      </c>
      <c r="AC7" t="e" s="0">
        <f t="shared" si="10"/>
        <v>#REF!</v>
      </c>
      <c r="AD7" t="e" s="0">
        <f t="shared" si="11"/>
        <v>#REF!</v>
      </c>
      <c r="AE7" t="e" s="0">
        <f t="shared" si="12"/>
        <v>#REF!</v>
      </c>
      <c r="AG7" s="1" t="e">
        <f>_xlfn.STDEV.S(sensitivity_params_projects!#REF!)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 s="0">
        <f t="shared" si="13"/>
        <v>#REF!</v>
      </c>
      <c r="AM7" t="e" s="0">
        <f t="shared" si="2"/>
        <v>#REF!</v>
      </c>
      <c r="AN7" t="e" s="0">
        <f t="shared" si="3"/>
        <v>#REF!</v>
      </c>
      <c r="AO7" t="e" s="0">
        <f t="shared" si="4"/>
        <v>#REF!</v>
      </c>
    </row>
    <row r="8" spans="1:41" x14ac:dyDescent="0.3">
      <c r="G8" s="0">
        <v>2014</v>
      </c>
      <c r="H8" s="1" t="e">
        <f>AVERAGE(sensitivity_params_ECs!#REF!)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AVERAGE(sensitivity_params_projects!#REF!)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_xlfn.STDEV.S(sensitivity_params_ECs!#REF!)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 s="0">
        <f t="shared" si="9"/>
        <v>#REF!</v>
      </c>
      <c r="AC8" t="e" s="0">
        <f t="shared" si="10"/>
        <v>#REF!</v>
      </c>
      <c r="AD8" t="e" s="0">
        <f t="shared" si="11"/>
        <v>#REF!</v>
      </c>
      <c r="AE8" t="e" s="0">
        <f t="shared" si="12"/>
        <v>#REF!</v>
      </c>
      <c r="AG8" s="1" t="e">
        <f>_xlfn.STDEV.S(sensitivity_params_projects!#REF!)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 s="0">
        <f t="shared" si="13"/>
        <v>#REF!</v>
      </c>
      <c r="AM8" t="e" s="0">
        <f t="shared" si="2"/>
        <v>#REF!</v>
      </c>
      <c r="AN8" t="e" s="0">
        <f t="shared" si="3"/>
        <v>#REF!</v>
      </c>
      <c r="AO8" t="e" s="0">
        <f t="shared" si="4"/>
        <v>#REF!</v>
      </c>
    </row>
    <row r="9" spans="1:41" x14ac:dyDescent="0.3">
      <c r="G9" s="0">
        <v>2015</v>
      </c>
      <c r="H9" s="1" t="e">
        <f>AVERAGE(sensitivity_params_ECs!#REF!)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AVERAGE(sensitivity_params_projects!#REF!)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_xlfn.STDEV.S(sensitivity_params_ECs!#REF!)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 s="0">
        <f t="shared" si="9"/>
        <v>#REF!</v>
      </c>
      <c r="AC9" t="e" s="0">
        <f t="shared" si="10"/>
        <v>#REF!</v>
      </c>
      <c r="AD9" t="e" s="0">
        <f t="shared" si="11"/>
        <v>#REF!</v>
      </c>
      <c r="AE9" t="e" s="0">
        <f t="shared" si="12"/>
        <v>#REF!</v>
      </c>
      <c r="AG9" s="1" t="e">
        <f>_xlfn.STDEV.S(sensitivity_params_projects!#REF!)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 s="0">
        <f t="shared" si="13"/>
        <v>#REF!</v>
      </c>
      <c r="AM9" t="e" s="0">
        <f t="shared" si="2"/>
        <v>#REF!</v>
      </c>
      <c r="AN9" t="e" s="0">
        <f t="shared" si="3"/>
        <v>#REF!</v>
      </c>
      <c r="AO9" t="e" s="0">
        <f t="shared" si="4"/>
        <v>#REF!</v>
      </c>
    </row>
    <row r="10" spans="1:41" x14ac:dyDescent="0.3">
      <c r="G10" s="0">
        <v>2016</v>
      </c>
      <c r="H10" s="1" t="e">
        <f>AVERAGE(sensitivity_params_ECs!#REF!)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AVERAGE(sensitivity_params_projects!#REF!)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_xlfn.STDEV.S(sensitivity_params_ECs!#REF!)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 s="0">
        <f t="shared" si="9"/>
        <v>#REF!</v>
      </c>
      <c r="AC10" t="e" s="0">
        <f t="shared" si="10"/>
        <v>#REF!</v>
      </c>
      <c r="AD10" t="e" s="0">
        <f t="shared" si="11"/>
        <v>#REF!</v>
      </c>
      <c r="AE10" t="e" s="0">
        <f t="shared" si="12"/>
        <v>#REF!</v>
      </c>
      <c r="AG10" s="1" t="e">
        <f>_xlfn.STDEV.S(sensitivity_params_projects!#REF!)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 s="0">
        <f t="shared" si="13"/>
        <v>#REF!</v>
      </c>
      <c r="AM10" t="e" s="0">
        <f t="shared" si="2"/>
        <v>#REF!</v>
      </c>
      <c r="AN10" t="e" s="0">
        <f t="shared" si="3"/>
        <v>#REF!</v>
      </c>
      <c r="AO10" t="e" s="0">
        <f t="shared" si="4"/>
        <v>#REF!</v>
      </c>
    </row>
    <row r="11" spans="1:41" x14ac:dyDescent="0.3">
      <c r="G11" s="0">
        <v>2017</v>
      </c>
      <c r="H11" s="1" t="e">
        <f>AVERAGE(sensitivity_params_ECs!#REF!)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AVERAGE(sensitivity_params_projects!#REF!)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_xlfn.STDEV.S(sensitivity_params_ECs!#REF!)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 s="0">
        <f t="shared" si="9"/>
        <v>#REF!</v>
      </c>
      <c r="AC11" t="e" s="0">
        <f t="shared" si="10"/>
        <v>#REF!</v>
      </c>
      <c r="AD11" t="e" s="0">
        <f t="shared" si="11"/>
        <v>#REF!</v>
      </c>
      <c r="AE11" t="e" s="0">
        <f t="shared" si="12"/>
        <v>#REF!</v>
      </c>
      <c r="AG11" s="1" t="e">
        <f>_xlfn.STDEV.S(sensitivity_params_projects!#REF!)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 s="0">
        <f t="shared" si="13"/>
        <v>#REF!</v>
      </c>
      <c r="AM11" t="e" s="0">
        <f t="shared" si="2"/>
        <v>#REF!</v>
      </c>
      <c r="AN11" t="e" s="0">
        <f t="shared" si="3"/>
        <v>#REF!</v>
      </c>
      <c r="AO11" t="e" s="0">
        <f t="shared" si="4"/>
        <v>#REF!</v>
      </c>
    </row>
    <row r="12" spans="1:41" x14ac:dyDescent="0.3">
      <c r="G12" s="0">
        <v>2018</v>
      </c>
      <c r="H12" s="1" t="e">
        <f>AVERAGE(sensitivity_params_ECs!#REF!)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AVERAGE(sensitivity_params_projects!#REF!)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_xlfn.STDEV.S(sensitivity_params_ECs!#REF!)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 s="0">
        <f t="shared" si="9"/>
        <v>#REF!</v>
      </c>
      <c r="AC12" t="e" s="0">
        <f t="shared" si="10"/>
        <v>#REF!</v>
      </c>
      <c r="AD12" t="e" s="0">
        <f t="shared" si="11"/>
        <v>#REF!</v>
      </c>
      <c r="AE12" t="e" s="0">
        <f t="shared" si="12"/>
        <v>#REF!</v>
      </c>
      <c r="AG12" s="1" t="e">
        <f>_xlfn.STDEV.S(sensitivity_params_projects!#REF!)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 s="0">
        <f t="shared" si="13"/>
        <v>#REF!</v>
      </c>
      <c r="AM12" t="e" s="0">
        <f t="shared" si="2"/>
        <v>#REF!</v>
      </c>
      <c r="AN12" t="e" s="0">
        <f t="shared" si="3"/>
        <v>#REF!</v>
      </c>
      <c r="AO12" t="e" s="0">
        <f t="shared" si="4"/>
        <v>#REF!</v>
      </c>
    </row>
    <row r="13" spans="1:41" x14ac:dyDescent="0.3">
      <c r="G13" s="0">
        <v>2019</v>
      </c>
      <c r="H13" s="1" t="e">
        <f>AVERAGE(sensitivity_params_ECs!#REF!)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AVERAGE(sensitivity_params_projects!#REF!)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_xlfn.STDEV.S(sensitivity_params_ECs!#REF!)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 s="0">
        <f t="shared" si="9"/>
        <v>#REF!</v>
      </c>
      <c r="AC13" t="e" s="0">
        <f t="shared" si="10"/>
        <v>#REF!</v>
      </c>
      <c r="AD13" t="e" s="0">
        <f t="shared" si="11"/>
        <v>#REF!</v>
      </c>
      <c r="AE13" t="e" s="0">
        <f t="shared" si="12"/>
        <v>#REF!</v>
      </c>
      <c r="AG13" s="1" t="e">
        <f>_xlfn.STDEV.S(sensitivity_params_projects!#REF!)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 s="0">
        <f t="shared" si="13"/>
        <v>#REF!</v>
      </c>
      <c r="AM13" t="e" s="0">
        <f t="shared" si="2"/>
        <v>#REF!</v>
      </c>
      <c r="AN13" t="e" s="0">
        <f t="shared" si="3"/>
        <v>#REF!</v>
      </c>
      <c r="AO13" t="e" s="0">
        <f t="shared" si="4"/>
        <v>#REF!</v>
      </c>
    </row>
    <row r="14" spans="1:41" x14ac:dyDescent="0.3">
      <c r="G14" s="0">
        <v>2020</v>
      </c>
      <c r="H14" s="1" t="e">
        <f>AVERAGE(sensitivity_params_ECs!#REF!)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AVERAGE(sensitivity_params_projects!#REF!)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_xlfn.STDEV.S(sensitivity_params_ECs!#REF!)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 s="0">
        <f t="shared" si="9"/>
        <v>#REF!</v>
      </c>
      <c r="AC14" t="e" s="0">
        <f t="shared" si="10"/>
        <v>#REF!</v>
      </c>
      <c r="AD14" t="e" s="0">
        <f t="shared" si="11"/>
        <v>#REF!</v>
      </c>
      <c r="AE14" t="e" s="0">
        <f t="shared" si="12"/>
        <v>#REF!</v>
      </c>
      <c r="AG14" s="1" t="e">
        <f>_xlfn.STDEV.S(sensitivity_params_projects!#REF!)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 s="0">
        <f t="shared" si="13"/>
        <v>#REF!</v>
      </c>
      <c r="AM14" t="e" s="0">
        <f t="shared" si="2"/>
        <v>#REF!</v>
      </c>
      <c r="AN14" t="e" s="0">
        <f t="shared" si="3"/>
        <v>#REF!</v>
      </c>
      <c r="AO14" t="e" s="0">
        <f t="shared" si="4"/>
        <v>#REF!</v>
      </c>
    </row>
    <row r="15" spans="1:41" x14ac:dyDescent="0.3">
      <c r="G15" s="0">
        <v>2021</v>
      </c>
      <c r="H15" s="1" t="e">
        <f>AVERAGE(sensitivity_params_ECs!#REF!)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AVERAGE(sensitivity_params_projects!#REF!)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_xlfn.STDEV.S(sensitivity_params_ECs!#REF!)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 s="0">
        <f t="shared" si="9"/>
        <v>#REF!</v>
      </c>
      <c r="AC15" t="e" s="0">
        <f t="shared" si="10"/>
        <v>#REF!</v>
      </c>
      <c r="AD15" t="e" s="0">
        <f t="shared" si="11"/>
        <v>#REF!</v>
      </c>
      <c r="AE15" t="e" s="0">
        <f t="shared" si="12"/>
        <v>#REF!</v>
      </c>
      <c r="AG15" s="1" t="e">
        <f>_xlfn.STDEV.S(sensitivity_params_projects!#REF!)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 s="0">
        <f t="shared" si="13"/>
        <v>#REF!</v>
      </c>
      <c r="AM15" t="e" s="0">
        <f t="shared" si="2"/>
        <v>#REF!</v>
      </c>
      <c r="AN15" t="e" s="0">
        <f t="shared" si="3"/>
        <v>#REF!</v>
      </c>
      <c r="AO15" t="e" s="0">
        <f t="shared" si="4"/>
        <v>#REF!</v>
      </c>
    </row>
    <row r="16" spans="1:41" x14ac:dyDescent="0.3">
      <c r="G16" s="0">
        <v>2022</v>
      </c>
      <c r="H16" s="1" t="e">
        <f>AVERAGE(sensitivity_params_ECs!#REF!)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AVERAGE(sensitivity_params_projects!#REF!)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_xlfn.STDEV.S(sensitivity_params_ECs!#REF!)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 s="0">
        <f t="shared" si="9"/>
        <v>#REF!</v>
      </c>
      <c r="AC16" t="e" s="0">
        <f t="shared" si="10"/>
        <v>#REF!</v>
      </c>
      <c r="AD16" t="e" s="0">
        <f t="shared" si="11"/>
        <v>#REF!</v>
      </c>
      <c r="AE16" t="e" s="0">
        <f t="shared" si="12"/>
        <v>#REF!</v>
      </c>
      <c r="AG16" s="1" t="e">
        <f>_xlfn.STDEV.S(sensitivity_params_projects!#REF!)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 s="0">
        <f t="shared" si="13"/>
        <v>#REF!</v>
      </c>
      <c r="AM16" t="e" s="0">
        <f t="shared" si="2"/>
        <v>#REF!</v>
      </c>
      <c r="AN16" t="e" s="0">
        <f t="shared" si="3"/>
        <v>#REF!</v>
      </c>
      <c r="AO16" t="e" s="0">
        <f t="shared" si="4"/>
        <v>#REF!</v>
      </c>
    </row>
    <row r="17" spans="7:41" x14ac:dyDescent="0.3">
      <c r="G17" s="0">
        <v>2023</v>
      </c>
      <c r="H17" s="1" t="e">
        <f>AVERAGE(sensitivity_params_ECs!#REF!)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AVERAGE(sensitivity_params_projects!#REF!)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_xlfn.STDEV.S(sensitivity_params_ECs!#REF!)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 s="0">
        <f t="shared" si="9"/>
        <v>#REF!</v>
      </c>
      <c r="AC17" t="e" s="0">
        <f t="shared" si="10"/>
        <v>#REF!</v>
      </c>
      <c r="AD17" t="e" s="0">
        <f t="shared" si="11"/>
        <v>#REF!</v>
      </c>
      <c r="AE17" t="e" s="0">
        <f t="shared" si="12"/>
        <v>#REF!</v>
      </c>
      <c r="AG17" s="1" t="e">
        <f>_xlfn.STDEV.S(sensitivity_params_projects!#REF!)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 s="0">
        <f t="shared" si="13"/>
        <v>#REF!</v>
      </c>
      <c r="AM17" t="e" s="0">
        <f t="shared" si="2"/>
        <v>#REF!</v>
      </c>
      <c r="AN17" t="e" s="0">
        <f t="shared" si="3"/>
        <v>#REF!</v>
      </c>
      <c r="AO17" t="e" s="0">
        <f t="shared" si="4"/>
        <v>#REF!</v>
      </c>
    </row>
    <row r="18" spans="7:41" x14ac:dyDescent="0.3">
      <c r="G18" s="0">
        <v>2024</v>
      </c>
      <c r="H18" s="1" t="e">
        <f>AVERAGE(sensitivity_params_ECs!#REF!)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AVERAGE(sensitivity_params_projects!#REF!)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_xlfn.STDEV.S(sensitivity_params_ECs!#REF!)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 s="0">
        <f t="shared" si="9"/>
        <v>#REF!</v>
      </c>
      <c r="AC18" t="e" s="0">
        <f t="shared" si="10"/>
        <v>#REF!</v>
      </c>
      <c r="AD18" t="e" s="0">
        <f t="shared" si="11"/>
        <v>#REF!</v>
      </c>
      <c r="AE18" t="e" s="0">
        <f t="shared" si="12"/>
        <v>#REF!</v>
      </c>
      <c r="AG18" s="1" t="e">
        <f>_xlfn.STDEV.S(sensitivity_params_projects!#REF!)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 s="0">
        <f t="shared" si="13"/>
        <v>#REF!</v>
      </c>
      <c r="AM18" t="e" s="0">
        <f t="shared" si="2"/>
        <v>#REF!</v>
      </c>
      <c r="AN18" t="e" s="0">
        <f t="shared" si="3"/>
        <v>#REF!</v>
      </c>
      <c r="AO18" t="e" s="0">
        <f t="shared" si="4"/>
        <v>#REF!</v>
      </c>
    </row>
    <row r="19" spans="7:41" x14ac:dyDescent="0.3">
      <c r="G19" s="0">
        <v>2025</v>
      </c>
      <c r="H19" s="1" t="e">
        <f>AVERAGE(sensitivity_params_ECs!#REF!)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AVERAGE(sensitivity_params_projects!#REF!)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_xlfn.STDEV.S(sensitivity_params_ECs!#REF!)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 s="0">
        <f t="shared" si="9"/>
        <v>#REF!</v>
      </c>
      <c r="AC19" t="e" s="0">
        <f t="shared" si="10"/>
        <v>#REF!</v>
      </c>
      <c r="AD19" t="e" s="0">
        <f t="shared" si="11"/>
        <v>#REF!</v>
      </c>
      <c r="AE19" t="e" s="0">
        <f t="shared" si="12"/>
        <v>#REF!</v>
      </c>
      <c r="AG19" s="1" t="e">
        <f>_xlfn.STDEV.S(sensitivity_params_projects!#REF!)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 s="0">
        <f t="shared" si="13"/>
        <v>#REF!</v>
      </c>
      <c r="AM19" t="e" s="0">
        <f t="shared" si="2"/>
        <v>#REF!</v>
      </c>
      <c r="AN19" t="e" s="0">
        <f t="shared" si="3"/>
        <v>#REF!</v>
      </c>
      <c r="AO19" t="e" s="0">
        <f t="shared" si="4"/>
        <v>#REF!</v>
      </c>
    </row>
    <row r="20" spans="7:41" x14ac:dyDescent="0.3">
      <c r="G20" s="0">
        <v>2026</v>
      </c>
      <c r="H20" s="1" t="e">
        <f>AVERAGE(sensitivity_params_ECs!#REF!)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AVERAGE(sensitivity_params_projects!#REF!)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_xlfn.STDEV.S(sensitivity_params_ECs!#REF!)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 s="0">
        <f t="shared" si="9"/>
        <v>#REF!</v>
      </c>
      <c r="AC20" t="e" s="0">
        <f t="shared" si="10"/>
        <v>#REF!</v>
      </c>
      <c r="AD20" t="e" s="0">
        <f t="shared" si="11"/>
        <v>#REF!</v>
      </c>
      <c r="AE20" t="e" s="0">
        <f t="shared" si="12"/>
        <v>#REF!</v>
      </c>
      <c r="AG20" s="1" t="e">
        <f>_xlfn.STDEV.S(sensitivity_params_projects!#REF!)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 s="0">
        <f t="shared" si="13"/>
        <v>#REF!</v>
      </c>
      <c r="AM20" t="e" s="0">
        <f t="shared" si="2"/>
        <v>#REF!</v>
      </c>
      <c r="AN20" t="e" s="0">
        <f t="shared" si="3"/>
        <v>#REF!</v>
      </c>
      <c r="AO20" t="e" s="0">
        <f t="shared" si="4"/>
        <v>#REF!</v>
      </c>
    </row>
    <row r="21" spans="7:41" x14ac:dyDescent="0.3">
      <c r="G21" s="0">
        <v>2027</v>
      </c>
      <c r="H21" s="1" t="e">
        <f>AVERAGE(sensitivity_params_ECs!#REF!)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AVERAGE(sensitivity_params_projects!#REF!)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_xlfn.STDEV.S(sensitivity_params_ECs!#REF!)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 s="0">
        <f t="shared" si="9"/>
        <v>#REF!</v>
      </c>
      <c r="AC21" t="e" s="0">
        <f t="shared" si="10"/>
        <v>#REF!</v>
      </c>
      <c r="AD21" t="e" s="0">
        <f t="shared" si="11"/>
        <v>#REF!</v>
      </c>
      <c r="AE21" t="e" s="0">
        <f t="shared" si="12"/>
        <v>#REF!</v>
      </c>
      <c r="AG21" s="1" t="e">
        <f>_xlfn.STDEV.S(sensitivity_params_projects!#REF!)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 s="0">
        <f t="shared" si="13"/>
        <v>#REF!</v>
      </c>
      <c r="AM21" t="e" s="0">
        <f t="shared" si="2"/>
        <v>#REF!</v>
      </c>
      <c r="AN21" t="e" s="0">
        <f t="shared" si="3"/>
        <v>#REF!</v>
      </c>
      <c r="AO21" t="e" s="0">
        <f t="shared" si="4"/>
        <v>#REF!</v>
      </c>
    </row>
    <row r="22" spans="7:41" x14ac:dyDescent="0.3">
      <c r="G22" s="0">
        <v>2028</v>
      </c>
      <c r="H22" s="1" t="e">
        <f>AVERAGE(sensitivity_params_ECs!#REF!)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AVERAGE(sensitivity_params_projects!#REF!)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_xlfn.STDEV.S(sensitivity_params_ECs!#REF!)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 s="0">
        <f t="shared" si="9"/>
        <v>#REF!</v>
      </c>
      <c r="AC22" t="e" s="0">
        <f t="shared" si="10"/>
        <v>#REF!</v>
      </c>
      <c r="AD22" t="e" s="0">
        <f t="shared" si="11"/>
        <v>#REF!</v>
      </c>
      <c r="AE22" t="e" s="0">
        <f t="shared" si="12"/>
        <v>#REF!</v>
      </c>
      <c r="AG22" s="1" t="e">
        <f>_xlfn.STDEV.S(sensitivity_params_projects!#REF!)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 s="0">
        <f t="shared" si="13"/>
        <v>#REF!</v>
      </c>
      <c r="AM22" t="e" s="0">
        <f t="shared" si="2"/>
        <v>#REF!</v>
      </c>
      <c r="AN22" t="e" s="0">
        <f t="shared" si="3"/>
        <v>#REF!</v>
      </c>
      <c r="AO22" t="e" s="0">
        <f t="shared" si="4"/>
        <v>#REF!</v>
      </c>
    </row>
    <row r="23" spans="7:41" x14ac:dyDescent="0.3">
      <c r="G23" s="0">
        <v>2029</v>
      </c>
      <c r="H23" s="1" t="e">
        <f>AVERAGE(sensitivity_params_ECs!#REF!)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AVERAGE(sensitivity_params_projects!#REF!)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_xlfn.STDEV.S(sensitivity_params_ECs!#REF!)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 s="0">
        <f t="shared" si="9"/>
        <v>#REF!</v>
      </c>
      <c r="AC23" t="e" s="0">
        <f t="shared" si="10"/>
        <v>#REF!</v>
      </c>
      <c r="AD23" t="e" s="0">
        <f t="shared" si="11"/>
        <v>#REF!</v>
      </c>
      <c r="AE23" t="e" s="0">
        <f t="shared" si="12"/>
        <v>#REF!</v>
      </c>
      <c r="AG23" s="1" t="e">
        <f>_xlfn.STDEV.S(sensitivity_params_projects!#REF!)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 s="0">
        <f t="shared" si="13"/>
        <v>#REF!</v>
      </c>
      <c r="AM23" t="e" s="0">
        <f t="shared" si="2"/>
        <v>#REF!</v>
      </c>
      <c r="AN23" t="e" s="0">
        <f t="shared" si="3"/>
        <v>#REF!</v>
      </c>
      <c r="AO23" t="e" s="0">
        <f t="shared" si="4"/>
        <v>#REF!</v>
      </c>
    </row>
    <row r="24" spans="7:41" x14ac:dyDescent="0.3">
      <c r="G24" s="0">
        <v>2030</v>
      </c>
      <c r="H24" s="1" t="e">
        <f>AVERAGE(sensitivity_params_ECs!#REF!)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AVERAGE(sensitivity_params_projects!#REF!)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_xlfn.STDEV.S(sensitivity_params_ECs!#REF!)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 s="0">
        <f t="shared" si="9"/>
        <v>#REF!</v>
      </c>
      <c r="AC24" t="e" s="0">
        <f t="shared" si="10"/>
        <v>#REF!</v>
      </c>
      <c r="AD24" t="e" s="0">
        <f t="shared" si="11"/>
        <v>#REF!</v>
      </c>
      <c r="AE24" t="e" s="0">
        <f t="shared" si="12"/>
        <v>#REF!</v>
      </c>
      <c r="AG24" s="1" t="e">
        <f>_xlfn.STDEV.S(sensitivity_params_projects!#REF!)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 s="0">
        <f t="shared" si="13"/>
        <v>#REF!</v>
      </c>
      <c r="AM24" t="e" s="0">
        <f t="shared" si="2"/>
        <v>#REF!</v>
      </c>
      <c r="AN24" t="e" s="0">
        <f t="shared" si="3"/>
        <v>#REF!</v>
      </c>
      <c r="AO24" t="e" s="0">
        <f t="shared" si="4"/>
        <v>#REF!</v>
      </c>
    </row>
    <row r="25" spans="7:41" x14ac:dyDescent="0.3">
      <c r="G25" s="0">
        <v>2031</v>
      </c>
      <c r="H25" s="1" t="e">
        <f>AVERAGE(sensitivity_params_ECs!#REF!)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AVERAGE(sensitivity_params_projects!#REF!)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_xlfn.STDEV.S(sensitivity_params_ECs!#REF!)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 s="0">
        <f t="shared" si="9"/>
        <v>#REF!</v>
      </c>
      <c r="AC25" t="e" s="0">
        <f t="shared" si="10"/>
        <v>#REF!</v>
      </c>
      <c r="AD25" t="e" s="0">
        <f t="shared" si="11"/>
        <v>#REF!</v>
      </c>
      <c r="AE25" t="e" s="0">
        <f t="shared" si="12"/>
        <v>#REF!</v>
      </c>
      <c r="AG25" s="1" t="e">
        <f>_xlfn.STDEV.S(sensitivity_params_projects!#REF!)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 s="0">
        <f t="shared" si="13"/>
        <v>#REF!</v>
      </c>
      <c r="AM25" t="e" s="0">
        <f t="shared" si="2"/>
        <v>#REF!</v>
      </c>
      <c r="AN25" t="e" s="0">
        <f t="shared" si="3"/>
        <v>#REF!</v>
      </c>
      <c r="AO25" t="e" s="0">
        <f t="shared" si="4"/>
        <v>#REF!</v>
      </c>
    </row>
    <row r="26" spans="7:41" x14ac:dyDescent="0.3">
      <c r="G26" s="0">
        <v>2032</v>
      </c>
      <c r="H26" s="1" t="e">
        <f>AVERAGE(sensitivity_params_ECs!#REF!)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AVERAGE(sensitivity_params_projects!#REF!)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_xlfn.STDEV.S(sensitivity_params_ECs!#REF!)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 s="0">
        <f t="shared" si="9"/>
        <v>#REF!</v>
      </c>
      <c r="AC26" t="e" s="0">
        <f t="shared" si="10"/>
        <v>#REF!</v>
      </c>
      <c r="AD26" t="e" s="0">
        <f t="shared" si="11"/>
        <v>#REF!</v>
      </c>
      <c r="AE26" t="e" s="0">
        <f t="shared" si="12"/>
        <v>#REF!</v>
      </c>
      <c r="AG26" s="1" t="e">
        <f>_xlfn.STDEV.S(sensitivity_params_projects!#REF!)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 s="0">
        <f t="shared" si="13"/>
        <v>#REF!</v>
      </c>
      <c r="AM26" t="e" s="0">
        <f t="shared" si="2"/>
        <v>#REF!</v>
      </c>
      <c r="AN26" t="e" s="0">
        <f t="shared" si="3"/>
        <v>#REF!</v>
      </c>
      <c r="AO26" t="e" s="0">
        <f t="shared" si="4"/>
        <v>#REF!</v>
      </c>
    </row>
    <row r="27" spans="7:41" x14ac:dyDescent="0.3">
      <c r="G27" s="0">
        <v>2033</v>
      </c>
      <c r="H27" s="1" t="e">
        <f>AVERAGE(sensitivity_params_ECs!#REF!)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AVERAGE(sensitivity_params_projects!#REF!)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_xlfn.STDEV.S(sensitivity_params_ECs!#REF!)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 s="0">
        <f t="shared" si="9"/>
        <v>#REF!</v>
      </c>
      <c r="AC27" t="e" s="0">
        <f t="shared" si="10"/>
        <v>#REF!</v>
      </c>
      <c r="AD27" t="e" s="0">
        <f t="shared" si="11"/>
        <v>#REF!</v>
      </c>
      <c r="AE27" t="e" s="0">
        <f t="shared" si="12"/>
        <v>#REF!</v>
      </c>
      <c r="AG27" s="1" t="e">
        <f>_xlfn.STDEV.S(sensitivity_params_projects!#REF!)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 s="0">
        <f t="shared" si="13"/>
        <v>#REF!</v>
      </c>
      <c r="AM27" t="e" s="0">
        <f t="shared" si="2"/>
        <v>#REF!</v>
      </c>
      <c r="AN27" t="e" s="0">
        <f t="shared" si="3"/>
        <v>#REF!</v>
      </c>
      <c r="AO27" t="e" s="0">
        <f t="shared" si="4"/>
        <v>#REF!</v>
      </c>
    </row>
    <row r="28" spans="7:41" x14ac:dyDescent="0.3">
      <c r="G28" s="0">
        <v>2034</v>
      </c>
      <c r="H28" s="1" t="e">
        <f>AVERAGE(sensitivity_params_ECs!#REF!)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AVERAGE(sensitivity_params_projects!#REF!)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_xlfn.STDEV.S(sensitivity_params_ECs!#REF!)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 s="0">
        <f t="shared" si="9"/>
        <v>#REF!</v>
      </c>
      <c r="AC28" t="e" s="0">
        <f t="shared" si="10"/>
        <v>#REF!</v>
      </c>
      <c r="AD28" t="e" s="0">
        <f t="shared" si="11"/>
        <v>#REF!</v>
      </c>
      <c r="AE28" t="e" s="0">
        <f t="shared" si="12"/>
        <v>#REF!</v>
      </c>
      <c r="AG28" s="1" t="e">
        <f>_xlfn.STDEV.S(sensitivity_params_projects!#REF!)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 s="0">
        <f t="shared" si="13"/>
        <v>#REF!</v>
      </c>
      <c r="AM28" t="e" s="0">
        <f t="shared" si="2"/>
        <v>#REF!</v>
      </c>
      <c r="AN28" t="e" s="0">
        <f t="shared" si="3"/>
        <v>#REF!</v>
      </c>
      <c r="AO28" t="e" s="0">
        <f t="shared" si="4"/>
        <v>#REF!</v>
      </c>
    </row>
    <row r="29" spans="7:41" x14ac:dyDescent="0.3">
      <c r="G29" s="0">
        <v>2035</v>
      </c>
      <c r="H29" s="1" t="e">
        <f>AVERAGE(sensitivity_params_ECs!#REF!)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AVERAGE(sensitivity_params_projects!#REF!)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_xlfn.STDEV.S(sensitivity_params_ECs!#REF!)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 s="0">
        <f t="shared" si="9"/>
        <v>#REF!</v>
      </c>
      <c r="AC29" t="e" s="0">
        <f t="shared" si="10"/>
        <v>#REF!</v>
      </c>
      <c r="AD29" t="e" s="0">
        <f t="shared" si="11"/>
        <v>#REF!</v>
      </c>
      <c r="AE29" t="e" s="0">
        <f t="shared" si="12"/>
        <v>#REF!</v>
      </c>
      <c r="AG29" s="1" t="e">
        <f>_xlfn.STDEV.S(sensitivity_params_projects!#REF!)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 s="0">
        <f t="shared" si="13"/>
        <v>#REF!</v>
      </c>
      <c r="AM29" t="e" s="0">
        <f t="shared" si="2"/>
        <v>#REF!</v>
      </c>
      <c r="AN29" t="e" s="0">
        <f t="shared" si="3"/>
        <v>#REF!</v>
      </c>
      <c r="AO29" t="e" s="0">
        <f t="shared" si="4"/>
        <v>#REF!</v>
      </c>
    </row>
    <row r="30" spans="7:41" x14ac:dyDescent="0.3">
      <c r="G30" s="0">
        <v>2036</v>
      </c>
      <c r="H30" s="1" t="e">
        <f>AVERAGE(sensitivity_params_ECs!#REF!)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AVERAGE(sensitivity_params_projects!#REF!)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_xlfn.STDEV.S(sensitivity_params_ECs!#REF!)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 s="0">
        <f t="shared" si="9"/>
        <v>#REF!</v>
      </c>
      <c r="AC30" t="e" s="0">
        <f t="shared" si="10"/>
        <v>#REF!</v>
      </c>
      <c r="AD30" t="e" s="0">
        <f t="shared" si="11"/>
        <v>#REF!</v>
      </c>
      <c r="AE30" t="e" s="0">
        <f t="shared" si="12"/>
        <v>#REF!</v>
      </c>
      <c r="AG30" s="1" t="e">
        <f>_xlfn.STDEV.S(sensitivity_params_projects!#REF!)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 s="0">
        <f t="shared" si="13"/>
        <v>#REF!</v>
      </c>
      <c r="AM30" t="e" s="0">
        <f t="shared" si="2"/>
        <v>#REF!</v>
      </c>
      <c r="AN30" t="e" s="0">
        <f t="shared" si="3"/>
        <v>#REF!</v>
      </c>
      <c r="AO30" t="e" s="0">
        <f t="shared" si="4"/>
        <v>#REF!</v>
      </c>
    </row>
    <row r="31" spans="7:41" x14ac:dyDescent="0.3">
      <c r="G31" s="0">
        <v>2037</v>
      </c>
      <c r="H31" s="1" t="e">
        <f>AVERAGE(sensitivity_params_ECs!#REF!)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AVERAGE(sensitivity_params_projects!#REF!)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_xlfn.STDEV.S(sensitivity_params_ECs!#REF!)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 s="0">
        <f t="shared" si="9"/>
        <v>#REF!</v>
      </c>
      <c r="AC31" t="e" s="0">
        <f t="shared" si="10"/>
        <v>#REF!</v>
      </c>
      <c r="AD31" t="e" s="0">
        <f t="shared" si="11"/>
        <v>#REF!</v>
      </c>
      <c r="AE31" t="e" s="0">
        <f t="shared" si="12"/>
        <v>#REF!</v>
      </c>
      <c r="AG31" s="1" t="e">
        <f>_xlfn.STDEV.S(sensitivity_params_projects!#REF!)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 s="0">
        <f t="shared" si="13"/>
        <v>#REF!</v>
      </c>
      <c r="AM31" t="e" s="0">
        <f t="shared" si="2"/>
        <v>#REF!</v>
      </c>
      <c r="AN31" t="e" s="0">
        <f t="shared" si="3"/>
        <v>#REF!</v>
      </c>
      <c r="AO31" t="e" s="0">
        <f t="shared" si="4"/>
        <v>#REF!</v>
      </c>
    </row>
    <row r="32" spans="7:41" x14ac:dyDescent="0.3">
      <c r="G32" s="0">
        <v>2038</v>
      </c>
      <c r="H32" s="1" t="e">
        <f>AVERAGE(sensitivity_params_ECs!#REF!)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AVERAGE(sensitivity_params_projects!#REF!)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_xlfn.STDEV.S(sensitivity_params_ECs!#REF!)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 s="0">
        <f t="shared" si="9"/>
        <v>#REF!</v>
      </c>
      <c r="AC32" t="e" s="0">
        <f t="shared" si="10"/>
        <v>#REF!</v>
      </c>
      <c r="AD32" t="e" s="0">
        <f t="shared" si="11"/>
        <v>#REF!</v>
      </c>
      <c r="AE32" t="e" s="0">
        <f t="shared" si="12"/>
        <v>#REF!</v>
      </c>
      <c r="AG32" s="1" t="e">
        <f>_xlfn.STDEV.S(sensitivity_params_projects!#REF!)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 s="0">
        <f t="shared" si="13"/>
        <v>#REF!</v>
      </c>
      <c r="AM32" t="e" s="0">
        <f t="shared" si="2"/>
        <v>#REF!</v>
      </c>
      <c r="AN32" t="e" s="0">
        <f t="shared" si="3"/>
        <v>#REF!</v>
      </c>
      <c r="AO32" t="e" s="0">
        <f t="shared" si="4"/>
        <v>#REF!</v>
      </c>
    </row>
    <row r="33" spans="7:41" x14ac:dyDescent="0.3">
      <c r="G33" s="0">
        <v>2039</v>
      </c>
      <c r="H33" s="1" t="e">
        <f>AVERAGE(sensitivity_params_ECs!#REF!)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AVERAGE(sensitivity_params_projects!#REF!)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_xlfn.STDEV.S(sensitivity_params_ECs!#REF!)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 s="0">
        <f t="shared" si="9"/>
        <v>#REF!</v>
      </c>
      <c r="AC33" t="e" s="0">
        <f t="shared" si="10"/>
        <v>#REF!</v>
      </c>
      <c r="AD33" t="e" s="0">
        <f t="shared" si="11"/>
        <v>#REF!</v>
      </c>
      <c r="AE33" t="e" s="0">
        <f t="shared" si="12"/>
        <v>#REF!</v>
      </c>
      <c r="AG33" s="1" t="e">
        <f>_xlfn.STDEV.S(sensitivity_params_projects!#REF!)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 s="0">
        <f t="shared" si="13"/>
        <v>#REF!</v>
      </c>
      <c r="AM33" t="e" s="0">
        <f t="shared" si="2"/>
        <v>#REF!</v>
      </c>
      <c r="AN33" t="e" s="0">
        <f t="shared" si="3"/>
        <v>#REF!</v>
      </c>
      <c r="AO33" t="e" s="0">
        <f t="shared" si="4"/>
        <v>#REF!</v>
      </c>
    </row>
    <row r="34" spans="7:41" x14ac:dyDescent="0.3">
      <c r="G34" s="0">
        <v>2040</v>
      </c>
      <c r="H34" s="1" t="e">
        <f>AVERAGE(sensitivity_params_ECs!#REF!)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AVERAGE(sensitivity_params_projects!#REF!)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_xlfn.STDEV.S(sensitivity_params_ECs!#REF!)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 s="0">
        <f t="shared" si="9"/>
        <v>#REF!</v>
      </c>
      <c r="AC34" t="e" s="0">
        <f t="shared" si="10"/>
        <v>#REF!</v>
      </c>
      <c r="AD34" t="e" s="0">
        <f t="shared" si="11"/>
        <v>#REF!</v>
      </c>
      <c r="AE34" t="e" s="0">
        <f t="shared" si="12"/>
        <v>#REF!</v>
      </c>
      <c r="AG34" s="1" t="e">
        <f>_xlfn.STDEV.S(sensitivity_params_projects!#REF!)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 s="0">
        <f t="shared" si="13"/>
        <v>#REF!</v>
      </c>
      <c r="AM34" t="e" s="0">
        <f t="shared" si="2"/>
        <v>#REF!</v>
      </c>
      <c r="AN34" t="e" s="0">
        <f t="shared" si="3"/>
        <v>#REF!</v>
      </c>
      <c r="AO34" t="e" s="0">
        <f t="shared" si="4"/>
        <v>#REF!</v>
      </c>
    </row>
    <row r="35" spans="7:41" x14ac:dyDescent="0.3">
      <c r="G35" s="0">
        <v>2041</v>
      </c>
      <c r="H35" s="1" t="e">
        <f>AVERAGE(sensitivity_params_ECs!#REF!)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AVERAGE(sensitivity_params_projects!#REF!)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ref="R35:R44" si="14">M35*99/302660</f>
        <v>#REF!</v>
      </c>
      <c r="S35" s="2" t="e">
        <f t="shared" ref="S35:S44" si="15">N35*99/302660</f>
        <v>#REF!</v>
      </c>
      <c r="T35" s="2" t="e">
        <f t="shared" ref="T35:T44" si="16">O35*99/302660</f>
        <v>#REF!</v>
      </c>
      <c r="U35" s="2" t="e">
        <f t="shared" ref="U35:U44" si="17">P35*99/302660</f>
        <v>#REF!</v>
      </c>
      <c r="W35" s="1" t="e">
        <f>_xlfn.STDEV.S(sensitivity_params_ECs!#REF!)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 s="0">
        <f t="shared" ref="AB35:AB44" si="18">_xlfn.CONFIDENCE.T(0.01, W35, 30)</f>
        <v>#REF!</v>
      </c>
      <c r="AC35" t="e" s="0">
        <f t="shared" ref="AC35:AC44" si="19">_xlfn.CONFIDENCE.T(0.01, X35, 30)</f>
        <v>#REF!</v>
      </c>
      <c r="AD35" t="e" s="0">
        <f t="shared" ref="AD35:AD44" si="20">_xlfn.CONFIDENCE.T(0.01, Y35, 30)</f>
        <v>#REF!</v>
      </c>
      <c r="AE35" t="e" s="0">
        <f t="shared" ref="AE35:AE44" si="21">_xlfn.CONFIDENCE.T(0.01, Z35, 30)</f>
        <v>#REF!</v>
      </c>
      <c r="AG35" s="1" t="e">
        <f>_xlfn.STDEV.S(sensitivity_params_projects!#REF!)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 s="0">
        <f t="shared" ref="AL35:AL44" si="22">_xlfn.CONFIDENCE.T(0.01, AG35, 30)</f>
        <v>#REF!</v>
      </c>
      <c r="AM35" t="e" s="0">
        <f t="shared" ref="AM35:AM44" si="23">_xlfn.CONFIDENCE.T(0.01, AH35, 30)</f>
        <v>#REF!</v>
      </c>
      <c r="AN35" t="e" s="0">
        <f t="shared" ref="AN35:AN44" si="24">_xlfn.CONFIDENCE.T(0.01, AI35, 30)</f>
        <v>#REF!</v>
      </c>
      <c r="AO35" t="e" s="0">
        <f t="shared" ref="AO35:AO44" si="25">_xlfn.CONFIDENCE.T(0.01, AJ35, 30)</f>
        <v>#REF!</v>
      </c>
    </row>
    <row r="36" spans="7:41" x14ac:dyDescent="0.3">
      <c r="G36" s="0">
        <v>2042</v>
      </c>
      <c r="H36" s="1" t="e">
        <f>AVERAGE(sensitivity_params_ECs!#REF!)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AVERAGE(sensitivity_params_projects!#REF!)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14"/>
        <v>#REF!</v>
      </c>
      <c r="S36" s="2" t="e">
        <f t="shared" si="15"/>
        <v>#REF!</v>
      </c>
      <c r="T36" s="2" t="e">
        <f t="shared" si="16"/>
        <v>#REF!</v>
      </c>
      <c r="U36" s="2" t="e">
        <f t="shared" si="17"/>
        <v>#REF!</v>
      </c>
      <c r="W36" s="1" t="e">
        <f>_xlfn.STDEV.S(sensitivity_params_ECs!#REF!)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 s="0">
        <f t="shared" si="18"/>
        <v>#REF!</v>
      </c>
      <c r="AC36" t="e" s="0">
        <f t="shared" si="19"/>
        <v>#REF!</v>
      </c>
      <c r="AD36" t="e" s="0">
        <f t="shared" si="20"/>
        <v>#REF!</v>
      </c>
      <c r="AE36" t="e" s="0">
        <f t="shared" si="21"/>
        <v>#REF!</v>
      </c>
      <c r="AG36" s="1" t="e">
        <f>_xlfn.STDEV.S(sensitivity_params_projects!#REF!)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 s="0">
        <f t="shared" si="22"/>
        <v>#REF!</v>
      </c>
      <c r="AM36" t="e" s="0">
        <f t="shared" si="23"/>
        <v>#REF!</v>
      </c>
      <c r="AN36" t="e" s="0">
        <f t="shared" si="24"/>
        <v>#REF!</v>
      </c>
      <c r="AO36" t="e" s="0">
        <f t="shared" si="25"/>
        <v>#REF!</v>
      </c>
    </row>
    <row r="37" spans="7:41" x14ac:dyDescent="0.3">
      <c r="G37" s="0">
        <v>2043</v>
      </c>
      <c r="H37" s="1" t="e">
        <f>AVERAGE(sensitivity_params_ECs!#REF!)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AVERAGE(sensitivity_params_projects!#REF!)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14"/>
        <v>#REF!</v>
      </c>
      <c r="S37" s="2" t="e">
        <f t="shared" si="15"/>
        <v>#REF!</v>
      </c>
      <c r="T37" s="2" t="e">
        <f t="shared" si="16"/>
        <v>#REF!</v>
      </c>
      <c r="U37" s="2" t="e">
        <f t="shared" si="17"/>
        <v>#REF!</v>
      </c>
      <c r="W37" s="1" t="e">
        <f>_xlfn.STDEV.S(sensitivity_params_ECs!#REF!)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 s="0">
        <f t="shared" si="18"/>
        <v>#REF!</v>
      </c>
      <c r="AC37" t="e" s="0">
        <f t="shared" si="19"/>
        <v>#REF!</v>
      </c>
      <c r="AD37" t="e" s="0">
        <f t="shared" si="20"/>
        <v>#REF!</v>
      </c>
      <c r="AE37" t="e" s="0">
        <f t="shared" si="21"/>
        <v>#REF!</v>
      </c>
      <c r="AG37" s="1" t="e">
        <f>_xlfn.STDEV.S(sensitivity_params_projects!#REF!)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 s="0">
        <f t="shared" si="22"/>
        <v>#REF!</v>
      </c>
      <c r="AM37" t="e" s="0">
        <f t="shared" si="23"/>
        <v>#REF!</v>
      </c>
      <c r="AN37" t="e" s="0">
        <f t="shared" si="24"/>
        <v>#REF!</v>
      </c>
      <c r="AO37" t="e" s="0">
        <f t="shared" si="25"/>
        <v>#REF!</v>
      </c>
    </row>
    <row r="38" spans="7:41" x14ac:dyDescent="0.3">
      <c r="G38" s="0">
        <v>2044</v>
      </c>
      <c r="H38" s="1" t="e">
        <f>AVERAGE(sensitivity_params_ECs!#REF!)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AVERAGE(sensitivity_params_projects!#REF!)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14"/>
        <v>#REF!</v>
      </c>
      <c r="S38" s="2" t="e">
        <f t="shared" si="15"/>
        <v>#REF!</v>
      </c>
      <c r="T38" s="2" t="e">
        <f t="shared" si="16"/>
        <v>#REF!</v>
      </c>
      <c r="U38" s="2" t="e">
        <f t="shared" si="17"/>
        <v>#REF!</v>
      </c>
      <c r="W38" s="1" t="e">
        <f>_xlfn.STDEV.S(sensitivity_params_ECs!#REF!)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 s="0">
        <f t="shared" si="18"/>
        <v>#REF!</v>
      </c>
      <c r="AC38" t="e" s="0">
        <f t="shared" si="19"/>
        <v>#REF!</v>
      </c>
      <c r="AD38" t="e" s="0">
        <f t="shared" si="20"/>
        <v>#REF!</v>
      </c>
      <c r="AE38" t="e" s="0">
        <f t="shared" si="21"/>
        <v>#REF!</v>
      </c>
      <c r="AG38" s="1" t="e">
        <f>_xlfn.STDEV.S(sensitivity_params_projects!#REF!)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 s="0">
        <f t="shared" si="22"/>
        <v>#REF!</v>
      </c>
      <c r="AM38" t="e" s="0">
        <f t="shared" si="23"/>
        <v>#REF!</v>
      </c>
      <c r="AN38" t="e" s="0">
        <f t="shared" si="24"/>
        <v>#REF!</v>
      </c>
      <c r="AO38" t="e" s="0">
        <f t="shared" si="25"/>
        <v>#REF!</v>
      </c>
    </row>
    <row r="39" spans="7:41" x14ac:dyDescent="0.3">
      <c r="G39" s="0">
        <v>2045</v>
      </c>
      <c r="H39" s="1" t="e">
        <f>AVERAGE(sensitivity_params_ECs!#REF!)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AVERAGE(sensitivity_params_projects!#REF!)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14"/>
        <v>#REF!</v>
      </c>
      <c r="S39" s="2" t="e">
        <f t="shared" si="15"/>
        <v>#REF!</v>
      </c>
      <c r="T39" s="2" t="e">
        <f t="shared" si="16"/>
        <v>#REF!</v>
      </c>
      <c r="U39" s="2" t="e">
        <f t="shared" si="17"/>
        <v>#REF!</v>
      </c>
      <c r="W39" s="1" t="e">
        <f>_xlfn.STDEV.S(sensitivity_params_ECs!#REF!)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 s="0">
        <f t="shared" si="18"/>
        <v>#REF!</v>
      </c>
      <c r="AC39" t="e" s="0">
        <f t="shared" si="19"/>
        <v>#REF!</v>
      </c>
      <c r="AD39" t="e" s="0">
        <f t="shared" si="20"/>
        <v>#REF!</v>
      </c>
      <c r="AE39" t="e" s="0">
        <f t="shared" si="21"/>
        <v>#REF!</v>
      </c>
      <c r="AG39" s="1" t="e">
        <f>_xlfn.STDEV.S(sensitivity_params_projects!#REF!)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 s="0">
        <f t="shared" si="22"/>
        <v>#REF!</v>
      </c>
      <c r="AM39" t="e" s="0">
        <f t="shared" si="23"/>
        <v>#REF!</v>
      </c>
      <c r="AN39" t="e" s="0">
        <f t="shared" si="24"/>
        <v>#REF!</v>
      </c>
      <c r="AO39" t="e" s="0">
        <f t="shared" si="25"/>
        <v>#REF!</v>
      </c>
    </row>
    <row r="40" spans="7:41" x14ac:dyDescent="0.3">
      <c r="G40" s="0">
        <v>2046</v>
      </c>
      <c r="H40" s="1" t="e">
        <f>AVERAGE(sensitivity_params_ECs!#REF!)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AVERAGE(sensitivity_params_projects!#REF!)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14"/>
        <v>#REF!</v>
      </c>
      <c r="S40" s="2" t="e">
        <f t="shared" si="15"/>
        <v>#REF!</v>
      </c>
      <c r="T40" s="2" t="e">
        <f t="shared" si="16"/>
        <v>#REF!</v>
      </c>
      <c r="U40" s="2" t="e">
        <f t="shared" si="17"/>
        <v>#REF!</v>
      </c>
      <c r="W40" s="1" t="e">
        <f>_xlfn.STDEV.S(sensitivity_params_ECs!#REF!)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 s="0">
        <f t="shared" si="18"/>
        <v>#REF!</v>
      </c>
      <c r="AC40" t="e" s="0">
        <f t="shared" si="19"/>
        <v>#REF!</v>
      </c>
      <c r="AD40" t="e" s="0">
        <f t="shared" si="20"/>
        <v>#REF!</v>
      </c>
      <c r="AE40" t="e" s="0">
        <f t="shared" si="21"/>
        <v>#REF!</v>
      </c>
      <c r="AG40" s="1" t="e">
        <f>_xlfn.STDEV.S(sensitivity_params_projects!#REF!)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 s="0">
        <f t="shared" si="22"/>
        <v>#REF!</v>
      </c>
      <c r="AM40" t="e" s="0">
        <f t="shared" si="23"/>
        <v>#REF!</v>
      </c>
      <c r="AN40" t="e" s="0">
        <f t="shared" si="24"/>
        <v>#REF!</v>
      </c>
      <c r="AO40" t="e" s="0">
        <f t="shared" si="25"/>
        <v>#REF!</v>
      </c>
    </row>
    <row r="41" spans="7:41" x14ac:dyDescent="0.3">
      <c r="G41" s="0">
        <v>2047</v>
      </c>
      <c r="H41" s="1" t="e">
        <f>AVERAGE(sensitivity_params_ECs!#REF!)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AVERAGE(sensitivity_params_projects!#REF!)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14"/>
        <v>#REF!</v>
      </c>
      <c r="S41" s="2" t="e">
        <f t="shared" si="15"/>
        <v>#REF!</v>
      </c>
      <c r="T41" s="2" t="e">
        <f t="shared" si="16"/>
        <v>#REF!</v>
      </c>
      <c r="U41" s="2" t="e">
        <f t="shared" si="17"/>
        <v>#REF!</v>
      </c>
      <c r="W41" s="1" t="e">
        <f>_xlfn.STDEV.S(sensitivity_params_ECs!#REF!)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 s="0">
        <f t="shared" si="18"/>
        <v>#REF!</v>
      </c>
      <c r="AC41" t="e" s="0">
        <f t="shared" si="19"/>
        <v>#REF!</v>
      </c>
      <c r="AD41" t="e" s="0">
        <f t="shared" si="20"/>
        <v>#REF!</v>
      </c>
      <c r="AE41" t="e" s="0">
        <f t="shared" si="21"/>
        <v>#REF!</v>
      </c>
      <c r="AG41" s="1" t="e">
        <f>_xlfn.STDEV.S(sensitivity_params_projects!#REF!)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 s="0">
        <f t="shared" si="22"/>
        <v>#REF!</v>
      </c>
      <c r="AM41" t="e" s="0">
        <f t="shared" si="23"/>
        <v>#REF!</v>
      </c>
      <c r="AN41" t="e" s="0">
        <f t="shared" si="24"/>
        <v>#REF!</v>
      </c>
      <c r="AO41" t="e" s="0">
        <f t="shared" si="25"/>
        <v>#REF!</v>
      </c>
    </row>
    <row r="42" spans="7:41" x14ac:dyDescent="0.3">
      <c r="G42" s="0">
        <v>2048</v>
      </c>
      <c r="H42" s="1" t="e">
        <f>AVERAGE(sensitivity_params_ECs!#REF!)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AVERAGE(sensitivity_params_projects!#REF!)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14"/>
        <v>#REF!</v>
      </c>
      <c r="S42" s="2" t="e">
        <f t="shared" si="15"/>
        <v>#REF!</v>
      </c>
      <c r="T42" s="2" t="e">
        <f t="shared" si="16"/>
        <v>#REF!</v>
      </c>
      <c r="U42" s="2" t="e">
        <f t="shared" si="17"/>
        <v>#REF!</v>
      </c>
      <c r="W42" s="1" t="e">
        <f>_xlfn.STDEV.S(sensitivity_params_ECs!#REF!)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 s="0">
        <f t="shared" si="18"/>
        <v>#REF!</v>
      </c>
      <c r="AC42" t="e" s="0">
        <f t="shared" si="19"/>
        <v>#REF!</v>
      </c>
      <c r="AD42" t="e" s="0">
        <f t="shared" si="20"/>
        <v>#REF!</v>
      </c>
      <c r="AE42" t="e" s="0">
        <f t="shared" si="21"/>
        <v>#REF!</v>
      </c>
      <c r="AG42" s="1" t="e">
        <f>_xlfn.STDEV.S(sensitivity_params_projects!#REF!)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 s="0">
        <f t="shared" si="22"/>
        <v>#REF!</v>
      </c>
      <c r="AM42" t="e" s="0">
        <f t="shared" si="23"/>
        <v>#REF!</v>
      </c>
      <c r="AN42" t="e" s="0">
        <f t="shared" si="24"/>
        <v>#REF!</v>
      </c>
      <c r="AO42" t="e" s="0">
        <f t="shared" si="25"/>
        <v>#REF!</v>
      </c>
    </row>
    <row r="43" spans="7:41" x14ac:dyDescent="0.3">
      <c r="G43" s="0">
        <v>2049</v>
      </c>
      <c r="H43" s="1" t="e">
        <f>AVERAGE(sensitivity_params_ECs!#REF!)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AVERAGE(sensitivity_params_projects!#REF!)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14"/>
        <v>#REF!</v>
      </c>
      <c r="S43" s="2" t="e">
        <f t="shared" si="15"/>
        <v>#REF!</v>
      </c>
      <c r="T43" s="2" t="e">
        <f t="shared" si="16"/>
        <v>#REF!</v>
      </c>
      <c r="U43" s="2" t="e">
        <f t="shared" si="17"/>
        <v>#REF!</v>
      </c>
      <c r="W43" s="1" t="e">
        <f>_xlfn.STDEV.S(sensitivity_params_ECs!#REF!)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 s="0">
        <f t="shared" si="18"/>
        <v>#REF!</v>
      </c>
      <c r="AC43" t="e" s="0">
        <f t="shared" si="19"/>
        <v>#REF!</v>
      </c>
      <c r="AD43" t="e" s="0">
        <f t="shared" si="20"/>
        <v>#REF!</v>
      </c>
      <c r="AE43" t="e" s="0">
        <f t="shared" si="21"/>
        <v>#REF!</v>
      </c>
      <c r="AG43" s="1" t="e">
        <f>_xlfn.STDEV.S(sensitivity_params_projects!#REF!)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 s="0">
        <f t="shared" si="22"/>
        <v>#REF!</v>
      </c>
      <c r="AM43" t="e" s="0">
        <f t="shared" si="23"/>
        <v>#REF!</v>
      </c>
      <c r="AN43" t="e" s="0">
        <f t="shared" si="24"/>
        <v>#REF!</v>
      </c>
      <c r="AO43" t="e" s="0">
        <f t="shared" si="25"/>
        <v>#REF!</v>
      </c>
    </row>
    <row r="44" spans="7:41" x14ac:dyDescent="0.3">
      <c r="G44" s="0">
        <v>2050</v>
      </c>
      <c r="H44" s="1" t="e">
        <f>AVERAGE(sensitivity_params_ECs!#REF!)</f>
        <v>#REF!</v>
      </c>
      <c r="I44" s="1" t="e">
        <f>AVERAGE(#REF!)</f>
        <v>#REF!</v>
      </c>
      <c r="J44" s="1" t="e">
        <f>AVERAGE(#REF!)</f>
        <v>#REF!</v>
      </c>
      <c r="K44" s="1" t="e">
        <f>AVERAGE(#REF!)</f>
        <v>#REF!</v>
      </c>
      <c r="L44" s="1"/>
      <c r="M44" s="1" t="e">
        <f>AVERAGE(sensitivity_params_projects!#REF!)</f>
        <v>#REF!</v>
      </c>
      <c r="N44" s="1" t="e">
        <f>AVERAGE(#REF!)</f>
        <v>#REF!</v>
      </c>
      <c r="O44" s="1" t="e">
        <f>AVERAGE(#REF!)</f>
        <v>#REF!</v>
      </c>
      <c r="P44" s="1" t="e">
        <f>AVERAGE(#REF!)</f>
        <v>#REF!</v>
      </c>
      <c r="R44" s="2" t="e">
        <f t="shared" si="14"/>
        <v>#REF!</v>
      </c>
      <c r="S44" s="2" t="e">
        <f t="shared" si="15"/>
        <v>#REF!</v>
      </c>
      <c r="T44" s="2" t="e">
        <f t="shared" si="16"/>
        <v>#REF!</v>
      </c>
      <c r="U44" s="2" t="e">
        <f t="shared" si="17"/>
        <v>#REF!</v>
      </c>
      <c r="W44" s="1" t="e">
        <f>_xlfn.STDEV.S(sensitivity_params_ECs!#REF!)</f>
        <v>#REF!</v>
      </c>
      <c r="X44" s="1" t="e">
        <f>_xlfn.STDEV.S(#REF!)</f>
        <v>#REF!</v>
      </c>
      <c r="Y44" s="1" t="e">
        <f>_xlfn.STDEV.S(#REF!)</f>
        <v>#REF!</v>
      </c>
      <c r="Z44" s="1" t="e">
        <f>_xlfn.STDEV.S(#REF!)</f>
        <v>#REF!</v>
      </c>
      <c r="AB44" t="e" s="0">
        <f t="shared" si="18"/>
        <v>#REF!</v>
      </c>
      <c r="AC44" t="e" s="0">
        <f t="shared" si="19"/>
        <v>#REF!</v>
      </c>
      <c r="AD44" t="e" s="0">
        <f t="shared" si="20"/>
        <v>#REF!</v>
      </c>
      <c r="AE44" t="e" s="0">
        <f t="shared" si="21"/>
        <v>#REF!</v>
      </c>
      <c r="AG44" s="1" t="e">
        <f>_xlfn.STDEV.S(sensitivity_params_projects!#REF!)</f>
        <v>#REF!</v>
      </c>
      <c r="AH44" s="1" t="e">
        <f>_xlfn.STDEV.S(#REF!)</f>
        <v>#REF!</v>
      </c>
      <c r="AI44" s="1" t="e">
        <f>_xlfn.STDEV.S(#REF!)</f>
        <v>#REF!</v>
      </c>
      <c r="AJ44" s="1" t="e">
        <f>_xlfn.STDEV.S(#REF!)</f>
        <v>#REF!</v>
      </c>
      <c r="AL44" t="e" s="0">
        <f t="shared" si="22"/>
        <v>#REF!</v>
      </c>
      <c r="AM44" t="e" s="0">
        <f t="shared" si="23"/>
        <v>#REF!</v>
      </c>
      <c r="AN44" t="e" s="0">
        <f t="shared" si="24"/>
        <v>#REF!</v>
      </c>
      <c r="AO44" t="e" s="0">
        <f t="shared" si="25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N59"/>
  <sheetViews>
    <sheetView zoomScale="9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UF59"/>
    </sheetView>
  </sheetViews>
  <sheetFormatPr defaultRowHeight="14.4" x14ac:dyDescent="0.3"/>
  <sheetData>
    <row r="1" spans="1:1" x14ac:dyDescent="0.3">
      <c r="A1" t="s" s="0">
        <v>0</v>
      </c>
      <c r="B1" t="s" s="0">
        <v>34</v>
      </c>
      <c r="C1" t="s" s="0">
        <v>36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  <c r="J1" t="s" s="0">
        <v>43</v>
      </c>
      <c r="K1" t="s" s="0">
        <v>44</v>
      </c>
      <c r="L1" t="s" s="0">
        <v>45</v>
      </c>
      <c r="M1" t="s" s="0">
        <v>46</v>
      </c>
      <c r="N1" t="s" s="0">
        <v>47</v>
      </c>
    </row>
    <row r="2" spans="1:1" x14ac:dyDescent="0.3">
      <c r="A2" s="0">
        <v>2009</v>
      </c>
      <c r="B2" t="n" s="0">
        <v>20.0</v>
      </c>
      <c r="C2" t="n" s="0">
        <v>20.0</v>
      </c>
      <c r="D2" t="n" s="0">
        <v>20.0</v>
      </c>
      <c r="E2" t="n" s="0">
        <v>20.0</v>
      </c>
      <c r="F2" t="n" s="0">
        <v>20.0</v>
      </c>
      <c r="G2" t="n" s="0">
        <v>20.0</v>
      </c>
      <c r="H2" t="n" s="0">
        <v>20.0</v>
      </c>
      <c r="I2" t="n" s="0">
        <v>20.0</v>
      </c>
      <c r="J2" t="n" s="0">
        <v>20.0</v>
      </c>
      <c r="K2" t="n" s="0">
        <v>20.0</v>
      </c>
      <c r="L2" t="n" s="0">
        <v>20.0</v>
      </c>
      <c r="M2" t="n" s="0">
        <v>20.0</v>
      </c>
      <c r="N2" t="n" s="0">
        <v>20.0</v>
      </c>
    </row>
    <row r="3" spans="1:1" x14ac:dyDescent="0.3">
      <c r="A3" s="0">
        <v>2010</v>
      </c>
      <c r="B3" t="n" s="0">
        <v>26.0</v>
      </c>
      <c r="C3" t="n" s="0">
        <v>26.0</v>
      </c>
      <c r="D3" t="n" s="0">
        <v>26.0</v>
      </c>
      <c r="E3" t="n" s="0">
        <v>26.0</v>
      </c>
      <c r="F3" t="n" s="0">
        <v>26.0</v>
      </c>
      <c r="G3" t="n" s="0">
        <v>26.0</v>
      </c>
      <c r="H3" t="n" s="0">
        <v>26.0</v>
      </c>
      <c r="I3" t="n" s="0">
        <v>26.0</v>
      </c>
      <c r="J3" t="n" s="0">
        <v>26.0</v>
      </c>
      <c r="K3" t="n" s="0">
        <v>26.0</v>
      </c>
      <c r="L3" t="n" s="0">
        <v>26.0</v>
      </c>
      <c r="M3" t="n" s="0">
        <v>26.0</v>
      </c>
      <c r="N3" t="n" s="0">
        <v>26.0</v>
      </c>
    </row>
    <row r="4" spans="1:1" x14ac:dyDescent="0.3">
      <c r="A4" s="0">
        <v>2011</v>
      </c>
      <c r="B4" t="n" s="0">
        <v>39.0</v>
      </c>
      <c r="C4" t="n" s="0">
        <v>39.0</v>
      </c>
      <c r="D4" t="n" s="0">
        <v>39.0</v>
      </c>
      <c r="E4" t="n" s="0">
        <v>39.0</v>
      </c>
      <c r="F4" t="n" s="0">
        <v>39.0</v>
      </c>
      <c r="G4" t="n" s="0">
        <v>39.0</v>
      </c>
      <c r="H4" t="n" s="0">
        <v>39.0</v>
      </c>
      <c r="I4" t="n" s="0">
        <v>39.0</v>
      </c>
      <c r="J4" t="n" s="0">
        <v>39.0</v>
      </c>
      <c r="K4" t="n" s="0">
        <v>39.0</v>
      </c>
      <c r="L4" t="n" s="0">
        <v>39.0</v>
      </c>
      <c r="M4" t="n" s="0">
        <v>39.0</v>
      </c>
      <c r="N4" t="n" s="0">
        <v>39.0</v>
      </c>
    </row>
    <row r="5" spans="1:1" x14ac:dyDescent="0.3">
      <c r="A5" s="0">
        <v>2012</v>
      </c>
      <c r="B5" t="n" s="0">
        <v>65.0</v>
      </c>
      <c r="C5" t="n" s="0">
        <v>65.0</v>
      </c>
      <c r="D5" t="n" s="0">
        <v>65.0</v>
      </c>
      <c r="E5" t="n" s="0">
        <v>65.0</v>
      </c>
      <c r="F5" t="n" s="0">
        <v>65.0</v>
      </c>
      <c r="G5" t="n" s="0">
        <v>65.0</v>
      </c>
      <c r="H5" t="n" s="0">
        <v>65.0</v>
      </c>
      <c r="I5" t="n" s="0">
        <v>65.0</v>
      </c>
      <c r="J5" t="n" s="0">
        <v>65.0</v>
      </c>
      <c r="K5" t="n" s="0">
        <v>65.0</v>
      </c>
      <c r="L5" t="n" s="0">
        <v>65.0</v>
      </c>
      <c r="M5" t="n" s="0">
        <v>65.0</v>
      </c>
      <c r="N5" t="n" s="0">
        <v>65.0</v>
      </c>
    </row>
    <row r="6" spans="1:1" x14ac:dyDescent="0.3">
      <c r="A6" s="0">
        <v>2013</v>
      </c>
      <c r="B6" t="n" s="0">
        <v>123.0</v>
      </c>
      <c r="C6" t="n" s="0">
        <v>123.0</v>
      </c>
      <c r="D6" t="n" s="0">
        <v>123.0</v>
      </c>
      <c r="E6" t="n" s="0">
        <v>123.0</v>
      </c>
      <c r="F6" t="n" s="0">
        <v>123.0</v>
      </c>
      <c r="G6" t="n" s="0">
        <v>123.0</v>
      </c>
      <c r="H6" t="n" s="0">
        <v>123.0</v>
      </c>
      <c r="I6" t="n" s="0">
        <v>123.0</v>
      </c>
      <c r="J6" t="n" s="0">
        <v>123.0</v>
      </c>
      <c r="K6" t="n" s="0">
        <v>123.0</v>
      </c>
      <c r="L6" t="n" s="0">
        <v>123.0</v>
      </c>
      <c r="M6" t="n" s="0">
        <v>123.0</v>
      </c>
      <c r="N6" t="n" s="0">
        <v>123.0</v>
      </c>
    </row>
    <row r="7" spans="1:1" x14ac:dyDescent="0.3">
      <c r="A7" s="0">
        <v>2014</v>
      </c>
      <c r="B7" t="n" s="0">
        <v>176.0</v>
      </c>
      <c r="C7" t="n" s="0">
        <v>176.0</v>
      </c>
      <c r="D7" t="n" s="0">
        <v>176.0</v>
      </c>
      <c r="E7" t="n" s="0">
        <v>176.0</v>
      </c>
      <c r="F7" t="n" s="0">
        <v>176.0</v>
      </c>
      <c r="G7" t="n" s="0">
        <v>176.0</v>
      </c>
      <c r="H7" t="n" s="0">
        <v>176.0</v>
      </c>
      <c r="I7" t="n" s="0">
        <v>176.0</v>
      </c>
      <c r="J7" t="n" s="0">
        <v>176.0</v>
      </c>
      <c r="K7" t="n" s="0">
        <v>176.0</v>
      </c>
      <c r="L7" t="n" s="0">
        <v>176.0</v>
      </c>
      <c r="M7" t="n" s="0">
        <v>176.0</v>
      </c>
      <c r="N7" t="n" s="0">
        <v>176.0</v>
      </c>
    </row>
    <row r="8" spans="1:1" x14ac:dyDescent="0.3">
      <c r="A8" s="0">
        <v>2015</v>
      </c>
      <c r="B8" t="n" s="0">
        <v>237.0</v>
      </c>
      <c r="C8" t="n" s="0">
        <v>237.0</v>
      </c>
      <c r="D8" t="n" s="0">
        <v>237.0</v>
      </c>
      <c r="E8" t="n" s="0">
        <v>237.0</v>
      </c>
      <c r="F8" t="n" s="0">
        <v>237.0</v>
      </c>
      <c r="G8" t="n" s="0">
        <v>237.0</v>
      </c>
      <c r="H8" t="n" s="0">
        <v>237.0</v>
      </c>
      <c r="I8" t="n" s="0">
        <v>237.0</v>
      </c>
      <c r="J8" t="n" s="0">
        <v>237.0</v>
      </c>
      <c r="K8" t="n" s="0">
        <v>237.0</v>
      </c>
      <c r="L8" t="n" s="0">
        <v>237.0</v>
      </c>
      <c r="M8" t="n" s="0">
        <v>237.0</v>
      </c>
      <c r="N8" t="n" s="0">
        <v>237.0</v>
      </c>
    </row>
    <row r="9" spans="1:1" x14ac:dyDescent="0.3">
      <c r="A9" s="0">
        <v>2016</v>
      </c>
      <c r="B9" t="n" s="0">
        <v>304.0</v>
      </c>
      <c r="C9" t="n" s="0">
        <v>304.0</v>
      </c>
      <c r="D9" t="n" s="0">
        <v>304.0</v>
      </c>
      <c r="E9" t="n" s="0">
        <v>304.0</v>
      </c>
      <c r="F9" t="n" s="0">
        <v>304.0</v>
      </c>
      <c r="G9" t="n" s="0">
        <v>304.0</v>
      </c>
      <c r="H9" t="n" s="0">
        <v>304.0</v>
      </c>
      <c r="I9" t="n" s="0">
        <v>304.0</v>
      </c>
      <c r="J9" t="n" s="0">
        <v>304.0</v>
      </c>
      <c r="K9" t="n" s="0">
        <v>304.0</v>
      </c>
      <c r="L9" t="n" s="0">
        <v>304.0</v>
      </c>
      <c r="M9" t="n" s="0">
        <v>304.0</v>
      </c>
      <c r="N9" t="n" s="0">
        <v>304.0</v>
      </c>
    </row>
    <row r="10" spans="1:1" x14ac:dyDescent="0.3">
      <c r="A10" s="0">
        <v>2017</v>
      </c>
      <c r="B10" t="n" s="0">
        <v>382.0</v>
      </c>
      <c r="C10" t="n" s="0">
        <v>382.0</v>
      </c>
      <c r="D10" t="n" s="0">
        <v>382.0</v>
      </c>
      <c r="E10" t="n" s="0">
        <v>382.0</v>
      </c>
      <c r="F10" t="n" s="0">
        <v>382.0</v>
      </c>
      <c r="G10" t="n" s="0">
        <v>382.0</v>
      </c>
      <c r="H10" t="n" s="0">
        <v>382.0</v>
      </c>
      <c r="I10" t="n" s="0">
        <v>382.0</v>
      </c>
      <c r="J10" t="n" s="0">
        <v>382.0</v>
      </c>
      <c r="K10" t="n" s="0">
        <v>382.0</v>
      </c>
      <c r="L10" t="n" s="0">
        <v>382.0</v>
      </c>
      <c r="M10" t="n" s="0">
        <v>382.0</v>
      </c>
      <c r="N10" t="n" s="0">
        <v>382.0</v>
      </c>
    </row>
    <row r="11" spans="1:1" x14ac:dyDescent="0.3">
      <c r="A11" s="0">
        <v>2018</v>
      </c>
      <c r="B11" t="n" s="0">
        <v>476.0</v>
      </c>
      <c r="C11" t="n" s="0">
        <v>476.0</v>
      </c>
      <c r="D11" t="n" s="0">
        <v>476.0</v>
      </c>
      <c r="E11" t="n" s="0">
        <v>476.0</v>
      </c>
      <c r="F11" t="n" s="0">
        <v>476.0</v>
      </c>
      <c r="G11" t="n" s="0">
        <v>476.0</v>
      </c>
      <c r="H11" t="n" s="0">
        <v>476.0</v>
      </c>
      <c r="I11" t="n" s="0">
        <v>476.0</v>
      </c>
      <c r="J11" t="n" s="0">
        <v>476.0</v>
      </c>
      <c r="K11" t="n" s="0">
        <v>476.0</v>
      </c>
      <c r="L11" t="n" s="0">
        <v>476.0</v>
      </c>
      <c r="M11" t="n" s="0">
        <v>476.0</v>
      </c>
      <c r="N11" t="n" s="0">
        <v>476.0</v>
      </c>
    </row>
    <row r="12" spans="1:1" x14ac:dyDescent="0.3">
      <c r="A12" s="0">
        <v>2019</v>
      </c>
      <c r="B12" t="n" s="0">
        <v>560.0</v>
      </c>
      <c r="C12" t="n" s="0">
        <v>560.0</v>
      </c>
      <c r="D12" t="n" s="0">
        <v>560.0</v>
      </c>
      <c r="E12" t="n" s="0">
        <v>560.0</v>
      </c>
      <c r="F12" t="n" s="0">
        <v>560.0</v>
      </c>
      <c r="G12" t="n" s="0">
        <v>560.0</v>
      </c>
      <c r="H12" t="n" s="0">
        <v>560.0</v>
      </c>
      <c r="I12" t="n" s="0">
        <v>560.0</v>
      </c>
      <c r="J12" t="n" s="0">
        <v>560.0</v>
      </c>
      <c r="K12" t="n" s="0">
        <v>560.0</v>
      </c>
      <c r="L12" t="n" s="0">
        <v>560.0</v>
      </c>
      <c r="M12" t="n" s="0">
        <v>560.0</v>
      </c>
      <c r="N12" t="n" s="0">
        <v>560.0</v>
      </c>
    </row>
    <row r="13" spans="1:1" x14ac:dyDescent="0.3">
      <c r="A13" s="0">
        <v>2020</v>
      </c>
      <c r="B13" t="n" s="0">
        <v>613.0</v>
      </c>
      <c r="C13" t="n" s="0">
        <v>613.0</v>
      </c>
      <c r="D13" t="n" s="0">
        <v>613.0</v>
      </c>
      <c r="E13" t="n" s="0">
        <v>613.0</v>
      </c>
      <c r="F13" t="n" s="0">
        <v>613.0</v>
      </c>
      <c r="G13" t="n" s="0">
        <v>613.0</v>
      </c>
      <c r="H13" t="n" s="0">
        <v>613.0</v>
      </c>
      <c r="I13" t="n" s="0">
        <v>613.0</v>
      </c>
      <c r="J13" t="n" s="0">
        <v>613.0</v>
      </c>
      <c r="K13" t="n" s="0">
        <v>613.0</v>
      </c>
      <c r="L13" t="n" s="0">
        <v>613.0</v>
      </c>
      <c r="M13" t="n" s="0">
        <v>613.0</v>
      </c>
      <c r="N13" t="n" s="0">
        <v>613.0</v>
      </c>
    </row>
    <row r="14" spans="1:1" x14ac:dyDescent="0.3">
      <c r="A14" s="0">
        <v>2021</v>
      </c>
      <c r="B14" t="n" s="0">
        <v>663.0</v>
      </c>
      <c r="C14" t="n" s="0">
        <v>663.0</v>
      </c>
      <c r="D14" t="n" s="0">
        <v>663.0</v>
      </c>
      <c r="E14" t="n" s="0">
        <v>663.0</v>
      </c>
      <c r="F14" t="n" s="0">
        <v>663.0</v>
      </c>
      <c r="G14" t="n" s="0">
        <v>663.0</v>
      </c>
      <c r="H14" t="n" s="0">
        <v>663.0</v>
      </c>
      <c r="I14" t="n" s="0">
        <v>663.0</v>
      </c>
      <c r="J14" t="n" s="0">
        <v>663.0</v>
      </c>
      <c r="K14" t="n" s="0">
        <v>663.0</v>
      </c>
      <c r="L14" t="n" s="0">
        <v>663.0</v>
      </c>
      <c r="M14" t="n" s="0">
        <v>663.0</v>
      </c>
      <c r="N14" t="n" s="0">
        <v>663.0</v>
      </c>
    </row>
    <row r="15" spans="1:1" x14ac:dyDescent="0.3">
      <c r="A15" s="0">
        <v>2022</v>
      </c>
      <c r="B15" t="n" s="0">
        <v>688.0</v>
      </c>
      <c r="C15" t="n" s="0">
        <v>688.0</v>
      </c>
      <c r="D15" t="n" s="0">
        <v>688.0</v>
      </c>
      <c r="E15" t="n" s="0">
        <v>688.0</v>
      </c>
      <c r="F15" t="n" s="0">
        <v>688.0</v>
      </c>
      <c r="G15" t="n" s="0">
        <v>688.0</v>
      </c>
      <c r="H15" t="n" s="0">
        <v>688.0</v>
      </c>
      <c r="I15" t="n" s="0">
        <v>688.0</v>
      </c>
      <c r="J15" t="n" s="0">
        <v>688.0</v>
      </c>
      <c r="K15" t="n" s="0">
        <v>688.0</v>
      </c>
      <c r="L15" t="n" s="0">
        <v>688.0</v>
      </c>
      <c r="M15" t="n" s="0">
        <v>688.0</v>
      </c>
      <c r="N15" t="n" s="0">
        <v>688.0</v>
      </c>
    </row>
    <row r="16" spans="1:1" x14ac:dyDescent="0.3">
      <c r="A16" s="0">
        <v>2023</v>
      </c>
      <c r="B16" t="n" s="0">
        <v>692.0</v>
      </c>
      <c r="C16" t="n" s="0">
        <v>692.0</v>
      </c>
      <c r="D16" t="n" s="0">
        <v>692.0</v>
      </c>
      <c r="E16" t="n" s="0">
        <v>692.0</v>
      </c>
      <c r="F16" t="n" s="0">
        <v>692.0</v>
      </c>
      <c r="G16" t="n" s="0">
        <v>692.0</v>
      </c>
      <c r="H16" t="n" s="0">
        <v>692.0</v>
      </c>
      <c r="I16" t="n" s="0">
        <v>692.0</v>
      </c>
      <c r="J16" t="n" s="0">
        <v>692.0</v>
      </c>
      <c r="K16" t="n" s="0">
        <v>692.0</v>
      </c>
      <c r="L16" t="n" s="0">
        <v>692.0</v>
      </c>
      <c r="M16" t="n" s="0">
        <v>692.0</v>
      </c>
      <c r="N16" t="n" s="0">
        <v>692.0</v>
      </c>
    </row>
    <row r="17" spans="1:1" x14ac:dyDescent="0.3">
      <c r="A17" s="0">
        <v>2024</v>
      </c>
      <c r="B17" t="n" s="0">
        <v>708.0</v>
      </c>
      <c r="C17" t="n" s="0">
        <v>708.0</v>
      </c>
      <c r="D17" t="n" s="0">
        <v>708.0</v>
      </c>
      <c r="E17" t="n" s="0">
        <v>708.0</v>
      </c>
      <c r="F17" t="n" s="0">
        <v>708.0</v>
      </c>
      <c r="G17" t="n" s="0">
        <v>708.0</v>
      </c>
      <c r="H17" t="n" s="0">
        <v>708.0</v>
      </c>
      <c r="I17" t="n" s="0">
        <v>708.0</v>
      </c>
      <c r="J17" t="n" s="0">
        <v>708.0</v>
      </c>
      <c r="K17" t="n" s="0">
        <v>708.0</v>
      </c>
      <c r="L17" t="n" s="0">
        <v>708.0</v>
      </c>
      <c r="M17" t="n" s="0">
        <v>708.0</v>
      </c>
      <c r="N17" t="n" s="0">
        <v>708.0</v>
      </c>
    </row>
    <row r="18" spans="1:1" x14ac:dyDescent="0.3">
      <c r="A18" s="0">
        <v>2025</v>
      </c>
      <c r="B18" t="n" s="0">
        <v>878.0</v>
      </c>
      <c r="C18" t="n" s="0">
        <v>766.0</v>
      </c>
      <c r="D18" t="n" s="0">
        <v>793.0</v>
      </c>
      <c r="E18" t="n" s="0">
        <v>831.0</v>
      </c>
      <c r="F18" t="n" s="0">
        <v>803.0</v>
      </c>
      <c r="G18" t="n" s="0">
        <v>833.0</v>
      </c>
      <c r="H18" t="n" s="0">
        <v>802.0</v>
      </c>
      <c r="I18" t="n" s="0">
        <v>867.0</v>
      </c>
      <c r="J18" t="n" s="0">
        <v>804.0</v>
      </c>
      <c r="K18" t="n" s="0">
        <v>843.0</v>
      </c>
      <c r="L18" t="n" s="0">
        <v>746.0</v>
      </c>
      <c r="M18" t="n" s="0">
        <v>810.0</v>
      </c>
      <c r="N18" t="n" s="0">
        <v>812.0</v>
      </c>
    </row>
    <row r="19" spans="1:1" x14ac:dyDescent="0.3">
      <c r="A19" s="0">
        <v>2026</v>
      </c>
      <c r="B19" t="n" s="0">
        <v>879.0</v>
      </c>
      <c r="C19" t="n" s="0">
        <v>777.0</v>
      </c>
      <c r="D19" t="n" s="0">
        <v>798.0</v>
      </c>
      <c r="E19" t="n" s="0">
        <v>839.0</v>
      </c>
      <c r="F19" t="n" s="0">
        <v>808.0</v>
      </c>
      <c r="G19" t="n" s="0">
        <v>836.0</v>
      </c>
      <c r="H19" t="n" s="0">
        <v>808.0</v>
      </c>
      <c r="I19" t="n" s="0">
        <v>867.0</v>
      </c>
      <c r="J19" t="n" s="0">
        <v>805.0</v>
      </c>
      <c r="K19" t="n" s="0">
        <v>847.0</v>
      </c>
      <c r="L19" t="n" s="0">
        <v>752.0</v>
      </c>
      <c r="M19" t="n" s="0">
        <v>816.0</v>
      </c>
      <c r="N19" t="n" s="0">
        <v>818.0</v>
      </c>
    </row>
    <row r="20" spans="1:1" x14ac:dyDescent="0.3">
      <c r="A20" s="0">
        <v>2027</v>
      </c>
      <c r="B20" t="n" s="0">
        <v>882.0</v>
      </c>
      <c r="C20" t="n" s="0">
        <v>781.0</v>
      </c>
      <c r="D20" t="n" s="0">
        <v>801.0</v>
      </c>
      <c r="E20" t="n" s="0">
        <v>842.0</v>
      </c>
      <c r="F20" t="n" s="0">
        <v>812.0</v>
      </c>
      <c r="G20" t="n" s="0">
        <v>841.0</v>
      </c>
      <c r="H20" t="n" s="0">
        <v>812.0</v>
      </c>
      <c r="I20" t="n" s="0">
        <v>869.0</v>
      </c>
      <c r="J20" t="n" s="0">
        <v>809.0</v>
      </c>
      <c r="K20" t="n" s="0">
        <v>848.0</v>
      </c>
      <c r="L20" t="n" s="0">
        <v>759.0</v>
      </c>
      <c r="M20" t="n" s="0">
        <v>818.0</v>
      </c>
      <c r="N20" t="n" s="0">
        <v>820.0</v>
      </c>
    </row>
    <row r="21" spans="1:1" x14ac:dyDescent="0.3">
      <c r="A21" s="0">
        <v>2028</v>
      </c>
      <c r="B21" t="n" s="0">
        <v>882.0</v>
      </c>
      <c r="C21" t="n" s="0">
        <v>792.0</v>
      </c>
      <c r="D21" t="n" s="0">
        <v>803.0</v>
      </c>
      <c r="E21" t="n" s="0">
        <v>847.0</v>
      </c>
      <c r="F21" t="n" s="0">
        <v>815.0</v>
      </c>
      <c r="G21" t="n" s="0">
        <v>842.0</v>
      </c>
      <c r="H21" t="n" s="0">
        <v>815.0</v>
      </c>
      <c r="I21" t="n" s="0">
        <v>870.0</v>
      </c>
      <c r="J21" t="n" s="0">
        <v>817.0</v>
      </c>
      <c r="K21" t="n" s="0">
        <v>850.0</v>
      </c>
      <c r="L21" t="n" s="0">
        <v>769.0</v>
      </c>
      <c r="M21" t="n" s="0">
        <v>820.0</v>
      </c>
      <c r="N21" t="n" s="0">
        <v>825.0</v>
      </c>
    </row>
    <row r="22" spans="1:1" x14ac:dyDescent="0.3">
      <c r="A22" s="0">
        <v>2029</v>
      </c>
      <c r="B22" t="n" s="0">
        <v>884.0</v>
      </c>
      <c r="C22" t="n" s="0">
        <v>797.0</v>
      </c>
      <c r="D22" t="n" s="0">
        <v>806.0</v>
      </c>
      <c r="E22" t="n" s="0">
        <v>851.0</v>
      </c>
      <c r="F22" t="n" s="0">
        <v>822.0</v>
      </c>
      <c r="G22" t="n" s="0">
        <v>844.0</v>
      </c>
      <c r="H22" t="n" s="0">
        <v>822.0</v>
      </c>
      <c r="I22" t="n" s="0">
        <v>870.0</v>
      </c>
      <c r="J22" t="n" s="0">
        <v>820.0</v>
      </c>
      <c r="K22" t="n" s="0">
        <v>858.0</v>
      </c>
      <c r="L22" t="n" s="0">
        <v>774.0</v>
      </c>
      <c r="M22" t="n" s="0">
        <v>828.0</v>
      </c>
      <c r="N22" t="n" s="0">
        <v>830.0</v>
      </c>
    </row>
    <row r="23" spans="1:1" x14ac:dyDescent="0.3">
      <c r="A23" s="0">
        <v>2030</v>
      </c>
      <c r="B23" t="n" s="0">
        <v>884.0</v>
      </c>
      <c r="C23" t="n" s="0">
        <v>803.0</v>
      </c>
      <c r="D23" t="n" s="0">
        <v>815.0</v>
      </c>
      <c r="E23" t="n" s="0">
        <v>853.0</v>
      </c>
      <c r="F23" t="n" s="0">
        <v>826.0</v>
      </c>
      <c r="G23" t="n" s="0">
        <v>851.0</v>
      </c>
      <c r="H23" t="n" s="0">
        <v>828.0</v>
      </c>
      <c r="I23" t="n" s="0">
        <v>873.0</v>
      </c>
      <c r="J23" t="n" s="0">
        <v>826.0</v>
      </c>
      <c r="K23" t="n" s="0">
        <v>859.0</v>
      </c>
      <c r="L23" t="n" s="0">
        <v>782.0</v>
      </c>
      <c r="M23" t="n" s="0">
        <v>830.0</v>
      </c>
      <c r="N23" t="n" s="0">
        <v>833.0</v>
      </c>
    </row>
    <row r="24" spans="1:1" x14ac:dyDescent="0.3">
      <c r="A24" s="0">
        <v>2031</v>
      </c>
      <c r="B24" t="n" s="0">
        <v>885.0</v>
      </c>
      <c r="C24" t="n" s="0">
        <v>814.0</v>
      </c>
      <c r="D24" t="n" s="0">
        <v>821.0</v>
      </c>
      <c r="E24" t="n" s="0">
        <v>854.0</v>
      </c>
      <c r="F24" t="n" s="0">
        <v>830.0</v>
      </c>
      <c r="G24" t="n" s="0">
        <v>855.0</v>
      </c>
      <c r="H24" t="n" s="0">
        <v>831.0</v>
      </c>
      <c r="I24" t="n" s="0">
        <v>875.0</v>
      </c>
      <c r="J24" t="n" s="0">
        <v>831.0</v>
      </c>
      <c r="K24" t="n" s="0">
        <v>863.0</v>
      </c>
      <c r="L24" t="n" s="0">
        <v>787.0</v>
      </c>
      <c r="M24" t="n" s="0">
        <v>833.0</v>
      </c>
      <c r="N24" t="n" s="0">
        <v>839.0</v>
      </c>
    </row>
    <row r="25" spans="1:1" x14ac:dyDescent="0.3">
      <c r="A25" s="0">
        <v>2032</v>
      </c>
      <c r="B25" t="n" s="0">
        <v>885.0</v>
      </c>
      <c r="C25" t="n" s="0">
        <v>818.0</v>
      </c>
      <c r="D25" t="n" s="0">
        <v>825.0</v>
      </c>
      <c r="E25" t="n" s="0">
        <v>858.0</v>
      </c>
      <c r="F25" t="n" s="0">
        <v>834.0</v>
      </c>
      <c r="G25" t="n" s="0">
        <v>859.0</v>
      </c>
      <c r="H25" t="n" s="0">
        <v>838.0</v>
      </c>
      <c r="I25" t="n" s="0">
        <v>878.0</v>
      </c>
      <c r="J25" t="n" s="0">
        <v>840.0</v>
      </c>
      <c r="K25" t="n" s="0">
        <v>864.0</v>
      </c>
      <c r="L25" t="n" s="0">
        <v>792.0</v>
      </c>
      <c r="M25" t="n" s="0">
        <v>834.0</v>
      </c>
      <c r="N25" t="n" s="0">
        <v>843.0</v>
      </c>
    </row>
    <row r="26" spans="1:1" x14ac:dyDescent="0.3">
      <c r="A26" s="0">
        <v>2033</v>
      </c>
      <c r="B26" t="n" s="0">
        <v>886.0</v>
      </c>
      <c r="C26" t="n" s="0">
        <v>823.0</v>
      </c>
      <c r="D26" t="n" s="0">
        <v>832.0</v>
      </c>
      <c r="E26" t="n" s="0">
        <v>861.0</v>
      </c>
      <c r="F26" t="n" s="0">
        <v>838.0</v>
      </c>
      <c r="G26" t="n" s="0">
        <v>864.0</v>
      </c>
      <c r="H26" t="n" s="0">
        <v>843.0</v>
      </c>
      <c r="I26" t="n" s="0">
        <v>882.0</v>
      </c>
      <c r="J26" t="n" s="0">
        <v>846.0</v>
      </c>
      <c r="K26" t="n" s="0">
        <v>867.0</v>
      </c>
      <c r="L26" t="n" s="0">
        <v>802.0</v>
      </c>
      <c r="M26" t="n" s="0">
        <v>837.0</v>
      </c>
      <c r="N26" t="n" s="0">
        <v>844.0</v>
      </c>
    </row>
    <row r="27" spans="1:1" x14ac:dyDescent="0.3">
      <c r="A27" s="0">
        <v>2034</v>
      </c>
      <c r="B27" t="n" s="0">
        <v>886.0</v>
      </c>
      <c r="C27" t="n" s="0">
        <v>831.0</v>
      </c>
      <c r="D27" t="n" s="0">
        <v>838.0</v>
      </c>
      <c r="E27" t="n" s="0">
        <v>862.0</v>
      </c>
      <c r="F27" t="n" s="0">
        <v>845.0</v>
      </c>
      <c r="G27" t="n" s="0">
        <v>870.0</v>
      </c>
      <c r="H27" t="n" s="0">
        <v>848.0</v>
      </c>
      <c r="I27" t="n" s="0">
        <v>882.0</v>
      </c>
      <c r="J27" t="n" s="0">
        <v>851.0</v>
      </c>
      <c r="K27" t="n" s="0">
        <v>872.0</v>
      </c>
      <c r="L27" t="n" s="0">
        <v>815.0</v>
      </c>
      <c r="M27" t="n" s="0">
        <v>841.0</v>
      </c>
      <c r="N27" t="n" s="0">
        <v>849.0</v>
      </c>
    </row>
    <row r="28" spans="1:1" x14ac:dyDescent="0.3">
      <c r="A28" s="0">
        <v>2035</v>
      </c>
      <c r="B28" t="n" s="0">
        <v>887.0</v>
      </c>
      <c r="C28" t="n" s="0">
        <v>837.0</v>
      </c>
      <c r="D28" t="n" s="0">
        <v>839.0</v>
      </c>
      <c r="E28" t="n" s="0">
        <v>871.0</v>
      </c>
      <c r="F28" t="n" s="0">
        <v>848.0</v>
      </c>
      <c r="G28" t="n" s="0">
        <v>874.0</v>
      </c>
      <c r="H28" t="n" s="0">
        <v>850.0</v>
      </c>
      <c r="I28" t="n" s="0">
        <v>887.0</v>
      </c>
      <c r="J28" t="n" s="0">
        <v>854.0</v>
      </c>
      <c r="K28" t="n" s="0">
        <v>878.0</v>
      </c>
      <c r="L28" t="n" s="0">
        <v>819.0</v>
      </c>
      <c r="M28" t="n" s="0">
        <v>851.0</v>
      </c>
      <c r="N28" t="n" s="0">
        <v>852.0</v>
      </c>
    </row>
    <row r="29" spans="1:1" x14ac:dyDescent="0.3">
      <c r="A29" s="0">
        <v>2036</v>
      </c>
      <c r="B29" t="n" s="0">
        <v>888.0</v>
      </c>
      <c r="C29" t="n" s="0">
        <v>843.0</v>
      </c>
      <c r="D29" t="n" s="0">
        <v>849.0</v>
      </c>
      <c r="E29" t="n" s="0">
        <v>877.0</v>
      </c>
      <c r="F29" t="n" s="0">
        <v>855.0</v>
      </c>
      <c r="G29" t="n" s="0">
        <v>875.0</v>
      </c>
      <c r="H29" t="n" s="0">
        <v>853.0</v>
      </c>
      <c r="I29" t="n" s="0">
        <v>890.0</v>
      </c>
      <c r="J29" t="n" s="0">
        <v>859.0</v>
      </c>
      <c r="K29" t="n" s="0">
        <v>880.0</v>
      </c>
      <c r="L29" t="n" s="0">
        <v>825.0</v>
      </c>
      <c r="M29" t="n" s="0">
        <v>855.0</v>
      </c>
      <c r="N29" t="n" s="0">
        <v>858.0</v>
      </c>
    </row>
    <row r="30" spans="1:1" x14ac:dyDescent="0.3">
      <c r="A30" s="0">
        <v>2037</v>
      </c>
      <c r="B30" t="n" s="0">
        <v>890.0</v>
      </c>
      <c r="C30" t="n" s="0">
        <v>844.0</v>
      </c>
      <c r="D30" t="n" s="0">
        <v>855.0</v>
      </c>
      <c r="E30" t="n" s="0">
        <v>880.0</v>
      </c>
      <c r="F30" t="n" s="0">
        <v>859.0</v>
      </c>
      <c r="G30" t="n" s="0">
        <v>877.0</v>
      </c>
      <c r="H30" t="n" s="0">
        <v>857.0</v>
      </c>
      <c r="I30" t="n" s="0">
        <v>891.0</v>
      </c>
      <c r="J30" t="n" s="0">
        <v>865.0</v>
      </c>
      <c r="K30" t="n" s="0">
        <v>883.0</v>
      </c>
      <c r="L30" t="n" s="0">
        <v>830.0</v>
      </c>
      <c r="M30" t="n" s="0">
        <v>862.0</v>
      </c>
      <c r="N30" t="n" s="0">
        <v>861.0</v>
      </c>
    </row>
    <row r="31" spans="1:1" x14ac:dyDescent="0.3">
      <c r="A31" s="0">
        <v>2038</v>
      </c>
      <c r="B31" t="n" s="0">
        <v>890.0</v>
      </c>
      <c r="C31" t="n" s="0">
        <v>851.0</v>
      </c>
      <c r="D31" t="n" s="0">
        <v>857.0</v>
      </c>
      <c r="E31" t="n" s="0">
        <v>880.0</v>
      </c>
      <c r="F31" t="n" s="0">
        <v>865.0</v>
      </c>
      <c r="G31" t="n" s="0">
        <v>878.0</v>
      </c>
      <c r="H31" t="n" s="0">
        <v>864.0</v>
      </c>
      <c r="I31" t="n" s="0">
        <v>892.0</v>
      </c>
      <c r="J31" t="n" s="0">
        <v>871.0</v>
      </c>
      <c r="K31" t="n" s="0">
        <v>885.0</v>
      </c>
      <c r="L31" t="n" s="0">
        <v>834.0</v>
      </c>
      <c r="M31" t="n" s="0">
        <v>867.0</v>
      </c>
      <c r="N31" t="n" s="0">
        <v>864.0</v>
      </c>
    </row>
    <row r="32" spans="1:1" x14ac:dyDescent="0.3">
      <c r="A32" s="0">
        <v>2039</v>
      </c>
      <c r="B32" t="n" s="0">
        <v>891.0</v>
      </c>
      <c r="C32" t="n" s="0">
        <v>857.0</v>
      </c>
      <c r="D32" t="n" s="0">
        <v>863.0</v>
      </c>
      <c r="E32" t="n" s="0">
        <v>883.0</v>
      </c>
      <c r="F32" t="n" s="0">
        <v>869.0</v>
      </c>
      <c r="G32" t="n" s="0">
        <v>881.0</v>
      </c>
      <c r="H32" t="n" s="0">
        <v>869.0</v>
      </c>
      <c r="I32" t="n" s="0">
        <v>893.0</v>
      </c>
      <c r="J32" t="n" s="0">
        <v>876.0</v>
      </c>
      <c r="K32" t="n" s="0">
        <v>887.0</v>
      </c>
      <c r="L32" t="n" s="0">
        <v>841.0</v>
      </c>
      <c r="M32" t="n" s="0">
        <v>870.0</v>
      </c>
      <c r="N32" t="n" s="0">
        <v>868.0</v>
      </c>
    </row>
    <row r="33" spans="1:1" x14ac:dyDescent="0.3">
      <c r="A33" s="0">
        <v>2040</v>
      </c>
      <c r="B33" t="n" s="0">
        <v>894.0</v>
      </c>
      <c r="C33" t="n" s="0">
        <v>863.0</v>
      </c>
      <c r="D33" t="n" s="0">
        <v>870.0</v>
      </c>
      <c r="E33" t="n" s="0">
        <v>884.0</v>
      </c>
      <c r="F33" t="n" s="0">
        <v>875.0</v>
      </c>
      <c r="G33" t="n" s="0">
        <v>885.0</v>
      </c>
      <c r="H33" t="n" s="0">
        <v>872.0</v>
      </c>
      <c r="I33" t="n" s="0">
        <v>894.0</v>
      </c>
      <c r="J33" t="n" s="0">
        <v>880.0</v>
      </c>
      <c r="K33" t="n" s="0">
        <v>888.0</v>
      </c>
      <c r="L33" t="n" s="0">
        <v>846.0</v>
      </c>
      <c r="M33" t="n" s="0">
        <v>877.0</v>
      </c>
      <c r="N33" t="n" s="0">
        <v>877.0</v>
      </c>
    </row>
    <row r="34" spans="1:1" x14ac:dyDescent="0.3">
      <c r="A34" s="0">
        <v>2041</v>
      </c>
      <c r="B34" t="n" s="0">
        <v>897.0</v>
      </c>
      <c r="C34" t="n" s="0">
        <v>866.0</v>
      </c>
      <c r="D34" t="n" s="0">
        <v>878.0</v>
      </c>
      <c r="E34" t="n" s="0">
        <v>886.0</v>
      </c>
      <c r="F34" t="n" s="0">
        <v>880.0</v>
      </c>
      <c r="G34" t="n" s="0">
        <v>886.0</v>
      </c>
      <c r="H34" t="n" s="0">
        <v>874.0</v>
      </c>
      <c r="I34" t="n" s="0">
        <v>896.0</v>
      </c>
      <c r="J34" t="n" s="0">
        <v>885.0</v>
      </c>
      <c r="K34" t="n" s="0">
        <v>888.0</v>
      </c>
      <c r="L34" t="n" s="0">
        <v>854.0</v>
      </c>
      <c r="M34" t="n" s="0">
        <v>883.0</v>
      </c>
      <c r="N34" t="n" s="0">
        <v>879.0</v>
      </c>
    </row>
    <row r="35" spans="1:1" x14ac:dyDescent="0.3">
      <c r="A35" s="0">
        <v>2042</v>
      </c>
      <c r="B35" t="n" s="0">
        <v>897.0</v>
      </c>
      <c r="C35" t="n" s="0">
        <v>872.0</v>
      </c>
      <c r="D35" t="n" s="0">
        <v>880.0</v>
      </c>
      <c r="E35" t="n" s="0">
        <v>888.0</v>
      </c>
      <c r="F35" t="n" s="0">
        <v>883.0</v>
      </c>
      <c r="G35" t="n" s="0">
        <v>890.0</v>
      </c>
      <c r="H35" t="n" s="0">
        <v>877.0</v>
      </c>
      <c r="I35" t="n" s="0">
        <v>899.0</v>
      </c>
      <c r="J35" t="n" s="0">
        <v>887.0</v>
      </c>
      <c r="K35" t="n" s="0">
        <v>891.0</v>
      </c>
      <c r="L35" t="n" s="0">
        <v>858.0</v>
      </c>
      <c r="M35" t="n" s="0">
        <v>885.0</v>
      </c>
      <c r="N35" t="n" s="0">
        <v>882.0</v>
      </c>
    </row>
    <row r="36" spans="1:1" x14ac:dyDescent="0.3">
      <c r="A36" s="0">
        <v>2043</v>
      </c>
      <c r="B36" t="n" s="0">
        <v>898.0</v>
      </c>
      <c r="C36" t="n" s="0">
        <v>875.0</v>
      </c>
      <c r="D36" t="n" s="0">
        <v>882.0</v>
      </c>
      <c r="E36" t="n" s="0">
        <v>892.0</v>
      </c>
      <c r="F36" t="n" s="0">
        <v>889.0</v>
      </c>
      <c r="G36" t="n" s="0">
        <v>891.0</v>
      </c>
      <c r="H36" t="n" s="0">
        <v>881.0</v>
      </c>
      <c r="I36" t="n" s="0">
        <v>901.0</v>
      </c>
      <c r="J36" t="n" s="0">
        <v>890.0</v>
      </c>
      <c r="K36" t="n" s="0">
        <v>894.0</v>
      </c>
      <c r="L36" t="n" s="0">
        <v>866.0</v>
      </c>
      <c r="M36" t="n" s="0">
        <v>888.0</v>
      </c>
      <c r="N36" t="n" s="0">
        <v>884.0</v>
      </c>
    </row>
    <row r="37" spans="1:1" x14ac:dyDescent="0.3">
      <c r="A37" s="0">
        <v>2044</v>
      </c>
      <c r="B37" t="n" s="0">
        <v>898.0</v>
      </c>
      <c r="C37" t="n" s="0">
        <v>880.0</v>
      </c>
      <c r="D37" t="n" s="0">
        <v>882.0</v>
      </c>
      <c r="E37" t="n" s="0">
        <v>895.0</v>
      </c>
      <c r="F37" t="n" s="0">
        <v>892.0</v>
      </c>
      <c r="G37" t="n" s="0">
        <v>892.0</v>
      </c>
      <c r="H37" t="n" s="0">
        <v>884.0</v>
      </c>
      <c r="I37" t="n" s="0">
        <v>901.0</v>
      </c>
      <c r="J37" t="n" s="0">
        <v>891.0</v>
      </c>
      <c r="K37" t="n" s="0">
        <v>895.0</v>
      </c>
      <c r="L37" t="n" s="0">
        <v>870.0</v>
      </c>
      <c r="M37" t="n" s="0">
        <v>890.0</v>
      </c>
      <c r="N37" t="n" s="0">
        <v>887.0</v>
      </c>
    </row>
    <row r="38" spans="1:1" x14ac:dyDescent="0.3">
      <c r="A38" s="0">
        <v>2045</v>
      </c>
      <c r="B38" t="n" s="0">
        <v>899.0</v>
      </c>
      <c r="C38" t="n" s="0">
        <v>884.0</v>
      </c>
      <c r="D38" t="n" s="0">
        <v>886.0</v>
      </c>
      <c r="E38" t="n" s="0">
        <v>895.0</v>
      </c>
      <c r="F38" t="n" s="0">
        <v>894.0</v>
      </c>
      <c r="G38" t="n" s="0">
        <v>892.0</v>
      </c>
      <c r="H38" t="n" s="0">
        <v>887.0</v>
      </c>
      <c r="I38" t="n" s="0">
        <v>903.0</v>
      </c>
      <c r="J38" t="n" s="0">
        <v>892.0</v>
      </c>
      <c r="K38" t="n" s="0">
        <v>897.0</v>
      </c>
      <c r="L38" t="n" s="0">
        <v>874.0</v>
      </c>
      <c r="M38" t="n" s="0">
        <v>891.0</v>
      </c>
      <c r="N38" t="n" s="0">
        <v>889.0</v>
      </c>
    </row>
    <row r="39" spans="1:1" x14ac:dyDescent="0.3">
      <c r="A39" s="0">
        <v>2046</v>
      </c>
      <c r="B39" t="n" s="0">
        <v>899.0</v>
      </c>
      <c r="C39" t="n" s="0">
        <v>886.0</v>
      </c>
      <c r="D39" t="n" s="0">
        <v>888.0</v>
      </c>
      <c r="E39" t="n" s="0">
        <v>896.0</v>
      </c>
      <c r="F39" t="n" s="0">
        <v>897.0</v>
      </c>
      <c r="G39" t="n" s="0">
        <v>895.0</v>
      </c>
      <c r="H39" t="n" s="0">
        <v>891.0</v>
      </c>
      <c r="I39" t="n" s="0">
        <v>905.0</v>
      </c>
      <c r="J39" t="n" s="0">
        <v>895.0</v>
      </c>
      <c r="K39" t="n" s="0">
        <v>899.0</v>
      </c>
      <c r="L39" t="n" s="0">
        <v>877.0</v>
      </c>
      <c r="M39" t="n" s="0">
        <v>893.0</v>
      </c>
      <c r="N39" t="n" s="0">
        <v>890.0</v>
      </c>
    </row>
    <row r="40" spans="1:1" x14ac:dyDescent="0.3">
      <c r="A40" s="0">
        <v>2047</v>
      </c>
      <c r="B40" t="n" s="0">
        <v>901.0</v>
      </c>
      <c r="C40" t="n" s="0">
        <v>890.0</v>
      </c>
      <c r="D40" t="n" s="0">
        <v>891.0</v>
      </c>
      <c r="E40" t="n" s="0">
        <v>899.0</v>
      </c>
      <c r="F40" t="n" s="0">
        <v>897.0</v>
      </c>
      <c r="G40" t="n" s="0">
        <v>897.0</v>
      </c>
      <c r="H40" t="n" s="0">
        <v>896.0</v>
      </c>
      <c r="I40" t="n" s="0">
        <v>906.0</v>
      </c>
      <c r="J40" t="n" s="0">
        <v>895.0</v>
      </c>
      <c r="K40" t="n" s="0">
        <v>901.0</v>
      </c>
      <c r="L40" t="n" s="0">
        <v>879.0</v>
      </c>
      <c r="M40" t="n" s="0">
        <v>896.0</v>
      </c>
      <c r="N40" t="n" s="0">
        <v>893.0</v>
      </c>
    </row>
    <row r="41" spans="1:1" x14ac:dyDescent="0.3">
      <c r="A41" s="0">
        <v>2048</v>
      </c>
      <c r="B41" t="n" s="0">
        <v>904.0</v>
      </c>
      <c r="C41" t="n" s="0">
        <v>891.0</v>
      </c>
      <c r="D41" t="n" s="0">
        <v>893.0</v>
      </c>
      <c r="E41" t="n" s="0">
        <v>901.0</v>
      </c>
      <c r="F41" t="n" s="0">
        <v>897.0</v>
      </c>
      <c r="G41" t="n" s="0">
        <v>898.0</v>
      </c>
      <c r="H41" t="n" s="0">
        <v>897.0</v>
      </c>
      <c r="I41" t="n" s="0">
        <v>907.0</v>
      </c>
      <c r="J41" t="n" s="0">
        <v>896.0</v>
      </c>
      <c r="K41" t="n" s="0">
        <v>902.0</v>
      </c>
      <c r="L41" t="n" s="0">
        <v>882.0</v>
      </c>
      <c r="M41" t="n" s="0">
        <v>897.0</v>
      </c>
      <c r="N41" t="n" s="0">
        <v>894.0</v>
      </c>
    </row>
    <row r="42" spans="1:1" x14ac:dyDescent="0.3">
      <c r="A42" s="0">
        <v>2049</v>
      </c>
      <c r="B42" t="n" s="0">
        <v>905.0</v>
      </c>
      <c r="C42" t="n" s="0">
        <v>893.0</v>
      </c>
      <c r="D42" t="n" s="0">
        <v>895.0</v>
      </c>
      <c r="E42" t="n" s="0">
        <v>903.0</v>
      </c>
      <c r="F42" t="n" s="0">
        <v>899.0</v>
      </c>
      <c r="G42" t="n" s="0">
        <v>901.0</v>
      </c>
      <c r="H42" t="n" s="0">
        <v>897.0</v>
      </c>
      <c r="I42" t="n" s="0">
        <v>907.0</v>
      </c>
      <c r="J42" t="n" s="0">
        <v>899.0</v>
      </c>
      <c r="K42" t="n" s="0">
        <v>903.0</v>
      </c>
      <c r="L42" t="n" s="0">
        <v>885.0</v>
      </c>
      <c r="M42" t="n" s="0">
        <v>897.0</v>
      </c>
      <c r="N42" t="n" s="0">
        <v>897.0</v>
      </c>
    </row>
    <row r="43" spans="1:1" x14ac:dyDescent="0.3">
      <c r="A43" s="0">
        <v>2050</v>
      </c>
      <c r="B43" t="n" s="0">
        <v>905.0</v>
      </c>
      <c r="C43" t="n" s="0">
        <v>894.0</v>
      </c>
      <c r="D43" t="n" s="0">
        <v>898.0</v>
      </c>
      <c r="E43" t="n" s="0">
        <v>904.0</v>
      </c>
      <c r="F43" t="n" s="0">
        <v>899.0</v>
      </c>
      <c r="G43" t="n" s="0">
        <v>902.0</v>
      </c>
      <c r="H43" t="n" s="0">
        <v>898.0</v>
      </c>
      <c r="I43" t="n" s="0">
        <v>908.0</v>
      </c>
      <c r="J43" t="n" s="0">
        <v>900.0</v>
      </c>
      <c r="K43" t="n" s="0">
        <v>904.0</v>
      </c>
      <c r="L43" t="n" s="0">
        <v>889.0</v>
      </c>
      <c r="M43" t="n" s="0">
        <v>901.0</v>
      </c>
      <c r="N43" t="n" s="0">
        <v>899.0</v>
      </c>
    </row>
    <row r="48" spans="1:1" x14ac:dyDescent="0.3">
      <c r="A48" t="s" s="0">
        <v>22</v>
      </c>
      <c r="B48" t="n" s="0">
        <v>0.02984241</v>
      </c>
      <c r="C48" t="n" s="0">
        <v>0.02984241</v>
      </c>
      <c r="D48" t="n" s="0">
        <v>0.02984241</v>
      </c>
      <c r="E48" t="n" s="0">
        <v>0.02984241</v>
      </c>
      <c r="F48" t="n" s="0">
        <v>0.02984241</v>
      </c>
      <c r="G48" t="n" s="0">
        <v>0.02984241</v>
      </c>
      <c r="H48" t="n" s="0">
        <v>0.02984241</v>
      </c>
      <c r="I48" t="n" s="0">
        <v>0.02984241</v>
      </c>
      <c r="J48" t="n" s="0">
        <v>0.02984241</v>
      </c>
      <c r="K48" t="n" s="0">
        <v>0.02984241</v>
      </c>
      <c r="L48" t="n" s="0">
        <v>0.02984241</v>
      </c>
      <c r="M48" t="n" s="0">
        <v>0.02984241</v>
      </c>
      <c r="N48" t="n" s="0">
        <v>0.02984241</v>
      </c>
    </row>
    <row r="49" spans="1:1" x14ac:dyDescent="0.3">
      <c r="A49" t="s" s="0">
        <v>23</v>
      </c>
      <c r="B49" t="n" s="0">
        <v>0.600340812</v>
      </c>
      <c r="C49" t="n" s="0">
        <v>0.600340812</v>
      </c>
      <c r="D49" t="n" s="0">
        <v>0.600340812</v>
      </c>
      <c r="E49" t="n" s="0">
        <v>0.600340812</v>
      </c>
      <c r="F49" t="n" s="0">
        <v>0.600340812</v>
      </c>
      <c r="G49" t="n" s="0">
        <v>0.600340812</v>
      </c>
      <c r="H49" t="n" s="0">
        <v>0.600340812</v>
      </c>
      <c r="I49" t="n" s="0">
        <v>0.600340812</v>
      </c>
      <c r="J49" t="n" s="0">
        <v>0.600340812</v>
      </c>
      <c r="K49" t="n" s="0">
        <v>0.600340812</v>
      </c>
      <c r="L49" t="n" s="0">
        <v>0.600340812</v>
      </c>
      <c r="M49" t="n" s="0">
        <v>0.600340812</v>
      </c>
      <c r="N49" t="n" s="0">
        <v>0.600340812</v>
      </c>
    </row>
    <row r="50" spans="1:1" x14ac:dyDescent="0.3">
      <c r="A50" t="s" s="0">
        <v>26</v>
      </c>
      <c r="B50" t="n" s="0">
        <v>0.768031991</v>
      </c>
      <c r="C50" t="n" s="0">
        <v>0.768031991</v>
      </c>
      <c r="D50" t="n" s="0">
        <v>0.768031991</v>
      </c>
      <c r="E50" t="n" s="0">
        <v>0.768031991</v>
      </c>
      <c r="F50" t="n" s="0">
        <v>0.768031991</v>
      </c>
      <c r="G50" t="n" s="0">
        <v>0.768031991</v>
      </c>
      <c r="H50" t="n" s="0">
        <v>0.768031991</v>
      </c>
      <c r="I50" t="n" s="0">
        <v>0.768031991</v>
      </c>
      <c r="J50" t="n" s="0">
        <v>0.768031991</v>
      </c>
      <c r="K50" t="n" s="0">
        <v>0.768031991</v>
      </c>
      <c r="L50" t="n" s="0">
        <v>0.768031991</v>
      </c>
      <c r="M50" t="n" s="0">
        <v>0.768031991</v>
      </c>
      <c r="N50" t="n" s="0">
        <v>0.768031991</v>
      </c>
    </row>
    <row r="51" spans="1:1" x14ac:dyDescent="0.3">
      <c r="A51" t="s" s="0">
        <v>24</v>
      </c>
      <c r="B51" t="n" s="0">
        <v>0.007259388</v>
      </c>
      <c r="C51" t="n" s="0">
        <v>0.007259388</v>
      </c>
      <c r="D51" t="n" s="0">
        <v>0.007259388</v>
      </c>
      <c r="E51" t="n" s="0">
        <v>0.007259388</v>
      </c>
      <c r="F51" t="n" s="0">
        <v>0.007259388</v>
      </c>
      <c r="G51" t="n" s="0">
        <v>0.007259388</v>
      </c>
      <c r="H51" t="n" s="0">
        <v>0.007259388</v>
      </c>
      <c r="I51" t="n" s="0">
        <v>0.007259388</v>
      </c>
      <c r="J51" t="n" s="0">
        <v>0.007259388</v>
      </c>
      <c r="K51" t="n" s="0">
        <v>0.007259388</v>
      </c>
      <c r="L51" t="n" s="0">
        <v>0.007259388</v>
      </c>
      <c r="M51" t="n" s="0">
        <v>0.007259388</v>
      </c>
      <c r="N51" t="n" s="0">
        <v>0.007259388</v>
      </c>
    </row>
    <row r="52" spans="1:1" x14ac:dyDescent="0.3">
      <c r="A52" t="s" s="0">
        <v>25</v>
      </c>
      <c r="B52" t="n" s="0">
        <v>0.079894887</v>
      </c>
      <c r="C52" t="n" s="0">
        <v>0.079894887</v>
      </c>
      <c r="D52" t="n" s="0">
        <v>0.081670329</v>
      </c>
      <c r="E52" t="n" s="0">
        <v>0.081670329</v>
      </c>
      <c r="F52" t="n" s="0">
        <v>0.083445771</v>
      </c>
      <c r="G52" t="n" s="0">
        <v>0.083445771</v>
      </c>
      <c r="H52" t="n" s="0">
        <v>0.085221213</v>
      </c>
      <c r="I52" t="n" s="0">
        <v>0.085221213</v>
      </c>
      <c r="J52" t="n" s="0">
        <v>0.086996655</v>
      </c>
      <c r="K52" t="n" s="0">
        <v>0.086996655</v>
      </c>
      <c r="L52" t="n" s="0">
        <v>0.088772097</v>
      </c>
      <c r="M52" t="n" s="0">
        <v>0.088772097</v>
      </c>
      <c r="N52" t="n" s="0">
        <v>0.090547539</v>
      </c>
    </row>
    <row r="53" spans="1:1" x14ac:dyDescent="0.3">
      <c r="A53" t="s" s="0">
        <v>32</v>
      </c>
      <c r="B53" t="s" s="0">
        <v>35</v>
      </c>
      <c r="C53" t="s" s="0">
        <v>35</v>
      </c>
      <c r="D53" t="s" s="0">
        <v>35</v>
      </c>
      <c r="E53" t="s" s="0">
        <v>35</v>
      </c>
      <c r="F53" t="s" s="0">
        <v>35</v>
      </c>
      <c r="G53" t="s" s="0">
        <v>35</v>
      </c>
      <c r="H53" t="s" s="0">
        <v>35</v>
      </c>
      <c r="I53" t="s" s="0">
        <v>35</v>
      </c>
      <c r="J53" t="s" s="0">
        <v>35</v>
      </c>
      <c r="K53" t="s" s="0">
        <v>35</v>
      </c>
      <c r="L53" t="s" s="0">
        <v>35</v>
      </c>
      <c r="M53" t="s" s="0">
        <v>35</v>
      </c>
      <c r="N53" t="s" s="0">
        <v>35</v>
      </c>
    </row>
    <row r="54" spans="1:1" x14ac:dyDescent="0.3">
      <c r="A54" t="s" s="0">
        <v>27</v>
      </c>
      <c r="B54" t="b" s="0">
        <v>0</v>
      </c>
      <c r="C54" t="b" s="0">
        <v>0</v>
      </c>
      <c r="D54" t="b" s="0">
        <v>0</v>
      </c>
      <c r="E54" t="b" s="0">
        <v>0</v>
      </c>
      <c r="F54" t="b" s="0">
        <v>0</v>
      </c>
      <c r="G54" t="b" s="0">
        <v>0</v>
      </c>
      <c r="H54" t="b" s="0">
        <v>0</v>
      </c>
      <c r="I54" t="b" s="0">
        <v>0</v>
      </c>
      <c r="J54" t="b" s="0">
        <v>0</v>
      </c>
      <c r="K54" t="b" s="0">
        <v>0</v>
      </c>
      <c r="L54" t="b" s="0">
        <v>0</v>
      </c>
      <c r="M54" t="b" s="0">
        <v>0</v>
      </c>
      <c r="N54" t="b" s="0">
        <v>0</v>
      </c>
    </row>
    <row r="55" spans="1:1" x14ac:dyDescent="0.3">
      <c r="A55" t="s" s="0">
        <v>28</v>
      </c>
      <c r="B55" t="b" s="0">
        <v>0</v>
      </c>
      <c r="C55" t="b" s="0">
        <v>0</v>
      </c>
      <c r="D55" t="b" s="0">
        <v>0</v>
      </c>
      <c r="E55" t="b" s="0">
        <v>0</v>
      </c>
      <c r="F55" t="b" s="0">
        <v>0</v>
      </c>
      <c r="G55" t="b" s="0">
        <v>0</v>
      </c>
      <c r="H55" t="b" s="0">
        <v>0</v>
      </c>
      <c r="I55" t="b" s="0">
        <v>0</v>
      </c>
      <c r="J55" t="b" s="0">
        <v>0</v>
      </c>
      <c r="K55" t="b" s="0">
        <v>0</v>
      </c>
      <c r="L55" t="b" s="0">
        <v>0</v>
      </c>
      <c r="M55" t="b" s="0">
        <v>0</v>
      </c>
      <c r="N55" t="b" s="0">
        <v>0</v>
      </c>
    </row>
    <row r="56" spans="1:1" x14ac:dyDescent="0.3">
      <c r="A56" t="s" s="0">
        <v>29</v>
      </c>
    </row>
    <row r="57" spans="1:1" x14ac:dyDescent="0.3">
      <c r="A57" t="s" s="0">
        <v>30</v>
      </c>
    </row>
    <row r="58" spans="1:1" x14ac:dyDescent="0.3">
      <c r="A58" t="s" s="0">
        <v>31</v>
      </c>
    </row>
    <row r="59" spans="1:1" x14ac:dyDescent="0.3">
      <c r="A59" t="s" s="0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N56"/>
  <sheetViews>
    <sheetView tabSelected="1" workbookViewId="0">
      <selection activeCell="F15" sqref="F15"/>
    </sheetView>
  </sheetViews>
  <sheetFormatPr defaultRowHeight="14.4" x14ac:dyDescent="0.3"/>
  <cols>
    <col min="550" max="550" customWidth="true" width="9.6640625"/>
  </cols>
  <sheetData>
    <row r="1" spans="1:1" x14ac:dyDescent="0.3">
      <c r="A1" t="s" s="0">
        <v>0</v>
      </c>
      <c r="B1" t="s" s="0">
        <v>34</v>
      </c>
      <c r="C1" t="s" s="0">
        <v>36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  <c r="J1" t="s" s="0">
        <v>43</v>
      </c>
      <c r="K1" t="s" s="0">
        <v>44</v>
      </c>
      <c r="L1" t="s" s="0">
        <v>45</v>
      </c>
      <c r="M1" t="s" s="0">
        <v>46</v>
      </c>
      <c r="N1" t="s" s="0">
        <v>47</v>
      </c>
    </row>
    <row r="2" spans="1:1" x14ac:dyDescent="0.3">
      <c r="A2" s="0">
        <v>2009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</row>
    <row r="3" spans="1:1" x14ac:dyDescent="0.3">
      <c r="A3" s="0">
        <v>2010</v>
      </c>
      <c r="B3" t="n" s="0">
        <v>1.0</v>
      </c>
      <c r="C3" t="n" s="0">
        <v>1.0</v>
      </c>
      <c r="D3" t="n" s="0">
        <v>1.0</v>
      </c>
      <c r="E3" t="n" s="0">
        <v>1.0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n" s="0">
        <v>1.0</v>
      </c>
      <c r="M3" t="n" s="0">
        <v>1.0</v>
      </c>
      <c r="N3" t="n" s="0">
        <v>1.0</v>
      </c>
    </row>
    <row r="4" spans="1:1" x14ac:dyDescent="0.3">
      <c r="A4" s="0">
        <v>2011</v>
      </c>
      <c r="B4" t="n" s="0">
        <v>46.0</v>
      </c>
      <c r="C4" t="n" s="0">
        <v>46.0</v>
      </c>
      <c r="D4" t="n" s="0">
        <v>46.0</v>
      </c>
      <c r="E4" t="n" s="0">
        <v>46.0</v>
      </c>
      <c r="F4" t="n" s="0">
        <v>46.0</v>
      </c>
      <c r="G4" t="n" s="0">
        <v>46.0</v>
      </c>
      <c r="H4" t="n" s="0">
        <v>46.0</v>
      </c>
      <c r="I4" t="n" s="0">
        <v>46.0</v>
      </c>
      <c r="J4" t="n" s="0">
        <v>46.0</v>
      </c>
      <c r="K4" t="n" s="0">
        <v>46.0</v>
      </c>
      <c r="L4" t="n" s="0">
        <v>46.0</v>
      </c>
      <c r="M4" t="n" s="0">
        <v>46.0</v>
      </c>
      <c r="N4" t="n" s="0">
        <v>46.0</v>
      </c>
    </row>
    <row r="5" spans="1:1" x14ac:dyDescent="0.3">
      <c r="A5" s="0">
        <v>2012</v>
      </c>
      <c r="B5" t="n" s="0">
        <v>53.0</v>
      </c>
      <c r="C5" t="n" s="0">
        <v>53.0</v>
      </c>
      <c r="D5" t="n" s="0">
        <v>53.0</v>
      </c>
      <c r="E5" t="n" s="0">
        <v>53.0</v>
      </c>
      <c r="F5" t="n" s="0">
        <v>53.0</v>
      </c>
      <c r="G5" t="n" s="0">
        <v>53.0</v>
      </c>
      <c r="H5" t="n" s="0">
        <v>53.0</v>
      </c>
      <c r="I5" t="n" s="0">
        <v>53.0</v>
      </c>
      <c r="J5" t="n" s="0">
        <v>53.0</v>
      </c>
      <c r="K5" t="n" s="0">
        <v>53.0</v>
      </c>
      <c r="L5" t="n" s="0">
        <v>53.0</v>
      </c>
      <c r="M5" t="n" s="0">
        <v>53.0</v>
      </c>
      <c r="N5" t="n" s="0">
        <v>53.0</v>
      </c>
    </row>
    <row r="6" spans="1:1" x14ac:dyDescent="0.3">
      <c r="A6" s="0">
        <v>2013</v>
      </c>
      <c r="B6" t="n" s="0">
        <v>72.0</v>
      </c>
      <c r="C6" t="n" s="0">
        <v>72.0</v>
      </c>
      <c r="D6" t="n" s="0">
        <v>72.0</v>
      </c>
      <c r="E6" t="n" s="0">
        <v>72.0</v>
      </c>
      <c r="F6" t="n" s="0">
        <v>72.0</v>
      </c>
      <c r="G6" t="n" s="0">
        <v>72.0</v>
      </c>
      <c r="H6" t="n" s="0">
        <v>72.0</v>
      </c>
      <c r="I6" t="n" s="0">
        <v>72.0</v>
      </c>
      <c r="J6" t="n" s="0">
        <v>72.0</v>
      </c>
      <c r="K6" t="n" s="0">
        <v>72.0</v>
      </c>
      <c r="L6" t="n" s="0">
        <v>72.0</v>
      </c>
      <c r="M6" t="n" s="0">
        <v>72.0</v>
      </c>
      <c r="N6" t="n" s="0">
        <v>72.0</v>
      </c>
    </row>
    <row r="7" spans="1:1" x14ac:dyDescent="0.3">
      <c r="A7" s="0">
        <v>2014</v>
      </c>
      <c r="B7" t="n" s="0">
        <v>100.0</v>
      </c>
      <c r="C7" t="n" s="0">
        <v>100.0</v>
      </c>
      <c r="D7" t="n" s="0">
        <v>100.0</v>
      </c>
      <c r="E7" t="n" s="0">
        <v>100.0</v>
      </c>
      <c r="F7" t="n" s="0">
        <v>100.0</v>
      </c>
      <c r="G7" t="n" s="0">
        <v>100.0</v>
      </c>
      <c r="H7" t="n" s="0">
        <v>100.0</v>
      </c>
      <c r="I7" t="n" s="0">
        <v>100.0</v>
      </c>
      <c r="J7" t="n" s="0">
        <v>100.0</v>
      </c>
      <c r="K7" t="n" s="0">
        <v>100.0</v>
      </c>
      <c r="L7" t="n" s="0">
        <v>100.0</v>
      </c>
      <c r="M7" t="n" s="0">
        <v>100.0</v>
      </c>
      <c r="N7" t="n" s="0">
        <v>100.0</v>
      </c>
    </row>
    <row r="8" spans="1:1" x14ac:dyDescent="0.3">
      <c r="A8" s="0">
        <v>2015</v>
      </c>
      <c r="B8" t="n" s="0">
        <v>153.0</v>
      </c>
      <c r="C8" t="n" s="0">
        <v>153.0</v>
      </c>
      <c r="D8" t="n" s="0">
        <v>153.0</v>
      </c>
      <c r="E8" t="n" s="0">
        <v>153.0</v>
      </c>
      <c r="F8" t="n" s="0">
        <v>153.0</v>
      </c>
      <c r="G8" t="n" s="0">
        <v>153.0</v>
      </c>
      <c r="H8" t="n" s="0">
        <v>153.0</v>
      </c>
      <c r="I8" t="n" s="0">
        <v>153.0</v>
      </c>
      <c r="J8" t="n" s="0">
        <v>153.0</v>
      </c>
      <c r="K8" t="n" s="0">
        <v>153.0</v>
      </c>
      <c r="L8" t="n" s="0">
        <v>153.0</v>
      </c>
      <c r="M8" t="n" s="0">
        <v>153.0</v>
      </c>
      <c r="N8" t="n" s="0">
        <v>153.0</v>
      </c>
    </row>
    <row r="9" spans="1:1" x14ac:dyDescent="0.3">
      <c r="A9" s="0">
        <v>2016</v>
      </c>
      <c r="B9" t="n" s="0">
        <v>226.0</v>
      </c>
      <c r="C9" t="n" s="0">
        <v>226.0</v>
      </c>
      <c r="D9" t="n" s="0">
        <v>226.0</v>
      </c>
      <c r="E9" t="n" s="0">
        <v>226.0</v>
      </c>
      <c r="F9" t="n" s="0">
        <v>226.0</v>
      </c>
      <c r="G9" t="n" s="0">
        <v>226.0</v>
      </c>
      <c r="H9" t="n" s="0">
        <v>226.0</v>
      </c>
      <c r="I9" t="n" s="0">
        <v>226.0</v>
      </c>
      <c r="J9" t="n" s="0">
        <v>226.0</v>
      </c>
      <c r="K9" t="n" s="0">
        <v>226.0</v>
      </c>
      <c r="L9" t="n" s="0">
        <v>226.0</v>
      </c>
      <c r="M9" t="n" s="0">
        <v>226.0</v>
      </c>
      <c r="N9" t="n" s="0">
        <v>226.0</v>
      </c>
    </row>
    <row r="10" spans="1:1" x14ac:dyDescent="0.3">
      <c r="A10" s="0">
        <v>2017</v>
      </c>
      <c r="B10" t="n" s="0">
        <v>336.0</v>
      </c>
      <c r="C10" t="n" s="0">
        <v>336.0</v>
      </c>
      <c r="D10" t="n" s="0">
        <v>336.0</v>
      </c>
      <c r="E10" t="n" s="0">
        <v>336.0</v>
      </c>
      <c r="F10" t="n" s="0">
        <v>336.0</v>
      </c>
      <c r="G10" t="n" s="0">
        <v>336.0</v>
      </c>
      <c r="H10" t="n" s="0">
        <v>336.0</v>
      </c>
      <c r="I10" t="n" s="0">
        <v>336.0</v>
      </c>
      <c r="J10" t="n" s="0">
        <v>336.0</v>
      </c>
      <c r="K10" t="n" s="0">
        <v>336.0</v>
      </c>
      <c r="L10" t="n" s="0">
        <v>336.0</v>
      </c>
      <c r="M10" t="n" s="0">
        <v>336.0</v>
      </c>
      <c r="N10" t="n" s="0">
        <v>336.0</v>
      </c>
    </row>
    <row r="11" spans="1:1" x14ac:dyDescent="0.3">
      <c r="A11" s="0">
        <v>2018</v>
      </c>
      <c r="B11" t="n" s="0">
        <v>524.0</v>
      </c>
      <c r="C11" t="n" s="0">
        <v>524.0</v>
      </c>
      <c r="D11" t="n" s="0">
        <v>524.0</v>
      </c>
      <c r="E11" t="n" s="0">
        <v>524.0</v>
      </c>
      <c r="F11" t="n" s="0">
        <v>524.0</v>
      </c>
      <c r="G11" t="n" s="0">
        <v>524.0</v>
      </c>
      <c r="H11" t="n" s="0">
        <v>524.0</v>
      </c>
      <c r="I11" t="n" s="0">
        <v>524.0</v>
      </c>
      <c r="J11" t="n" s="0">
        <v>524.0</v>
      </c>
      <c r="K11" t="n" s="0">
        <v>524.0</v>
      </c>
      <c r="L11" t="n" s="0">
        <v>524.0</v>
      </c>
      <c r="M11" t="n" s="0">
        <v>524.0</v>
      </c>
      <c r="N11" t="n" s="0">
        <v>524.0</v>
      </c>
    </row>
    <row r="12" spans="1:1" x14ac:dyDescent="0.3">
      <c r="A12" s="0">
        <v>2019</v>
      </c>
      <c r="B12" t="n" s="0">
        <v>726.0</v>
      </c>
      <c r="C12" t="n" s="0">
        <v>726.0</v>
      </c>
      <c r="D12" t="n" s="0">
        <v>726.0</v>
      </c>
      <c r="E12" t="n" s="0">
        <v>726.0</v>
      </c>
      <c r="F12" t="n" s="0">
        <v>726.0</v>
      </c>
      <c r="G12" t="n" s="0">
        <v>726.0</v>
      </c>
      <c r="H12" t="n" s="0">
        <v>726.0</v>
      </c>
      <c r="I12" t="n" s="0">
        <v>726.0</v>
      </c>
      <c r="J12" t="n" s="0">
        <v>726.0</v>
      </c>
      <c r="K12" t="n" s="0">
        <v>726.0</v>
      </c>
      <c r="L12" t="n" s="0">
        <v>726.0</v>
      </c>
      <c r="M12" t="n" s="0">
        <v>726.0</v>
      </c>
      <c r="N12" t="n" s="0">
        <v>726.0</v>
      </c>
    </row>
    <row r="13" spans="1:1" x14ac:dyDescent="0.3">
      <c r="A13" s="0">
        <v>2020</v>
      </c>
      <c r="B13" t="n" s="0">
        <v>898.0</v>
      </c>
      <c r="C13" t="n" s="0">
        <v>898.0</v>
      </c>
      <c r="D13" t="n" s="0">
        <v>898.0</v>
      </c>
      <c r="E13" t="n" s="0">
        <v>898.0</v>
      </c>
      <c r="F13" t="n" s="0">
        <v>898.0</v>
      </c>
      <c r="G13" t="n" s="0">
        <v>898.0</v>
      </c>
      <c r="H13" t="n" s="0">
        <v>898.0</v>
      </c>
      <c r="I13" t="n" s="0">
        <v>898.0</v>
      </c>
      <c r="J13" t="n" s="0">
        <v>898.0</v>
      </c>
      <c r="K13" t="n" s="0">
        <v>898.0</v>
      </c>
      <c r="L13" t="n" s="0">
        <v>898.0</v>
      </c>
      <c r="M13" t="n" s="0">
        <v>898.0</v>
      </c>
      <c r="N13" t="n" s="0">
        <v>898.0</v>
      </c>
    </row>
    <row r="14" spans="1:1" x14ac:dyDescent="0.3">
      <c r="A14" s="0">
        <v>2021</v>
      </c>
      <c r="B14" t="n" s="0">
        <v>1025.0</v>
      </c>
      <c r="C14" t="n" s="0">
        <v>1025.0</v>
      </c>
      <c r="D14" t="n" s="0">
        <v>1025.0</v>
      </c>
      <c r="E14" t="n" s="0">
        <v>1025.0</v>
      </c>
      <c r="F14" t="n" s="0">
        <v>1025.0</v>
      </c>
      <c r="G14" t="n" s="0">
        <v>1025.0</v>
      </c>
      <c r="H14" t="n" s="0">
        <v>1025.0</v>
      </c>
      <c r="I14" t="n" s="0">
        <v>1025.0</v>
      </c>
      <c r="J14" t="n" s="0">
        <v>1025.0</v>
      </c>
      <c r="K14" t="n" s="0">
        <v>1025.0</v>
      </c>
      <c r="L14" t="n" s="0">
        <v>1025.0</v>
      </c>
      <c r="M14" t="n" s="0">
        <v>1025.0</v>
      </c>
      <c r="N14" t="n" s="0">
        <v>1025.0</v>
      </c>
    </row>
    <row r="15" spans="1:1" x14ac:dyDescent="0.3">
      <c r="A15" s="0">
        <v>2022</v>
      </c>
      <c r="B15" t="n" s="0">
        <v>1210.0</v>
      </c>
      <c r="C15" t="n" s="0">
        <v>1210.0</v>
      </c>
      <c r="D15" t="n" s="0">
        <v>1210.0</v>
      </c>
      <c r="E15" t="n" s="0">
        <v>1210.0</v>
      </c>
      <c r="F15" t="n" s="0">
        <v>1210.0</v>
      </c>
      <c r="G15" t="n" s="0">
        <v>1210.0</v>
      </c>
      <c r="H15" t="n" s="0">
        <v>1210.0</v>
      </c>
      <c r="I15" t="n" s="0">
        <v>1210.0</v>
      </c>
      <c r="J15" t="n" s="0">
        <v>1210.0</v>
      </c>
      <c r="K15" t="n" s="0">
        <v>1210.0</v>
      </c>
      <c r="L15" t="n" s="0">
        <v>1210.0</v>
      </c>
      <c r="M15" t="n" s="0">
        <v>1210.0</v>
      </c>
      <c r="N15" t="n" s="0">
        <v>1210.0</v>
      </c>
    </row>
    <row r="16" spans="1:1" x14ac:dyDescent="0.3">
      <c r="A16" s="0">
        <v>2023</v>
      </c>
      <c r="B16" t="n" s="0">
        <v>1374.0</v>
      </c>
      <c r="C16" t="n" s="0">
        <v>1374.0</v>
      </c>
      <c r="D16" t="n" s="0">
        <v>1374.0</v>
      </c>
      <c r="E16" t="n" s="0">
        <v>1374.0</v>
      </c>
      <c r="F16" t="n" s="0">
        <v>1374.0</v>
      </c>
      <c r="G16" t="n" s="0">
        <v>1374.0</v>
      </c>
      <c r="H16" t="n" s="0">
        <v>1374.0</v>
      </c>
      <c r="I16" t="n" s="0">
        <v>1374.0</v>
      </c>
      <c r="J16" t="n" s="0">
        <v>1374.0</v>
      </c>
      <c r="K16" t="n" s="0">
        <v>1374.0</v>
      </c>
      <c r="L16" t="n" s="0">
        <v>1374.0</v>
      </c>
      <c r="M16" t="n" s="0">
        <v>1374.0</v>
      </c>
      <c r="N16" t="n" s="0">
        <v>1374.0</v>
      </c>
    </row>
    <row r="17" spans="1:1" x14ac:dyDescent="0.3">
      <c r="A17" s="0">
        <v>2024</v>
      </c>
      <c r="B17" t="n" s="0">
        <v>1486.0</v>
      </c>
      <c r="C17" t="n" s="0">
        <v>1486.0</v>
      </c>
      <c r="D17" t="n" s="0">
        <v>1486.0</v>
      </c>
      <c r="E17" t="n" s="0">
        <v>1486.0</v>
      </c>
      <c r="F17" t="n" s="0">
        <v>1486.0</v>
      </c>
      <c r="G17" t="n" s="0">
        <v>1486.0</v>
      </c>
      <c r="H17" t="n" s="0">
        <v>1486.0</v>
      </c>
      <c r="I17" t="n" s="0">
        <v>1486.0</v>
      </c>
      <c r="J17" t="n" s="0">
        <v>1486.0</v>
      </c>
      <c r="K17" t="n" s="0">
        <v>1486.0</v>
      </c>
      <c r="L17" t="n" s="0">
        <v>1486.0</v>
      </c>
      <c r="M17" t="n" s="0">
        <v>1486.0</v>
      </c>
      <c r="N17" t="n" s="0">
        <v>1486.0</v>
      </c>
    </row>
    <row r="18" spans="1:1" x14ac:dyDescent="0.3">
      <c r="A18" s="0">
        <v>2025</v>
      </c>
      <c r="B18" t="n" s="0">
        <v>1787.0</v>
      </c>
      <c r="C18" t="n" s="0">
        <v>1602.0</v>
      </c>
      <c r="D18" t="n" s="0">
        <v>1616.0</v>
      </c>
      <c r="E18" t="n" s="0">
        <v>1683.0</v>
      </c>
      <c r="F18" t="n" s="0">
        <v>1630.0</v>
      </c>
      <c r="G18" t="n" s="0">
        <v>1663.0</v>
      </c>
      <c r="H18" t="n" s="0">
        <v>1631.0</v>
      </c>
      <c r="I18" t="n" s="0">
        <v>1735.0</v>
      </c>
      <c r="J18" t="n" s="0">
        <v>1631.0</v>
      </c>
      <c r="K18" t="n" s="0">
        <v>1711.0</v>
      </c>
      <c r="L18" t="n" s="0">
        <v>1564.0</v>
      </c>
      <c r="M18" t="n" s="0">
        <v>1649.0</v>
      </c>
      <c r="N18" t="n" s="0">
        <v>1609.0</v>
      </c>
    </row>
    <row r="19" spans="1:1" x14ac:dyDescent="0.3">
      <c r="A19" s="0">
        <v>2026</v>
      </c>
      <c r="B19" t="n" s="0">
        <v>2151.0</v>
      </c>
      <c r="C19" t="n" s="0">
        <v>1788.0</v>
      </c>
      <c r="D19" t="n" s="0">
        <v>1834.0</v>
      </c>
      <c r="E19" t="n" s="0">
        <v>1953.0</v>
      </c>
      <c r="F19" t="n" s="0">
        <v>1861.0</v>
      </c>
      <c r="G19" t="n" s="0">
        <v>1939.0</v>
      </c>
      <c r="H19" t="n" s="0">
        <v>1885.0</v>
      </c>
      <c r="I19" t="n" s="0">
        <v>2047.0</v>
      </c>
      <c r="J19" t="n" s="0">
        <v>1868.0</v>
      </c>
      <c r="K19" t="n" s="0">
        <v>2014.0</v>
      </c>
      <c r="L19" t="n" s="0">
        <v>1678.0</v>
      </c>
      <c r="M19" t="n" s="0">
        <v>1898.0</v>
      </c>
      <c r="N19" t="n" s="0">
        <v>1802.0</v>
      </c>
    </row>
    <row r="20" spans="1:1" x14ac:dyDescent="0.3">
      <c r="A20" s="0">
        <v>2027</v>
      </c>
      <c r="B20" t="n" s="0">
        <v>2427.0</v>
      </c>
      <c r="C20" t="n" s="0">
        <v>1996.0</v>
      </c>
      <c r="D20" t="n" s="0">
        <v>2065.0</v>
      </c>
      <c r="E20" t="n" s="0">
        <v>2194.0</v>
      </c>
      <c r="F20" t="n" s="0">
        <v>2121.0</v>
      </c>
      <c r="G20" t="n" s="0">
        <v>2148.0</v>
      </c>
      <c r="H20" t="n" s="0">
        <v>2140.0</v>
      </c>
      <c r="I20" t="n" s="0">
        <v>2328.0</v>
      </c>
      <c r="J20" t="n" s="0">
        <v>2129.0</v>
      </c>
      <c r="K20" t="n" s="0">
        <v>2266.0</v>
      </c>
      <c r="L20" t="n" s="0">
        <v>1831.0</v>
      </c>
      <c r="M20" t="n" s="0">
        <v>2158.0</v>
      </c>
      <c r="N20" t="n" s="0">
        <v>2027.0</v>
      </c>
    </row>
    <row r="21" spans="1:1" x14ac:dyDescent="0.3">
      <c r="A21" s="0">
        <v>2028</v>
      </c>
      <c r="B21" t="n" s="0">
        <v>2722.0</v>
      </c>
      <c r="C21" t="n" s="0">
        <v>2279.0</v>
      </c>
      <c r="D21" t="n" s="0">
        <v>2355.0</v>
      </c>
      <c r="E21" t="n" s="0">
        <v>2462.0</v>
      </c>
      <c r="F21" t="n" s="0">
        <v>2404.0</v>
      </c>
      <c r="G21" t="n" s="0">
        <v>2437.0</v>
      </c>
      <c r="H21" t="n" s="0">
        <v>2430.0</v>
      </c>
      <c r="I21" t="n" s="0">
        <v>2645.0</v>
      </c>
      <c r="J21" t="n" s="0">
        <v>2470.0</v>
      </c>
      <c r="K21" t="n" s="0">
        <v>2550.0</v>
      </c>
      <c r="L21" t="n" s="0">
        <v>2087.0</v>
      </c>
      <c r="M21" t="n" s="0">
        <v>2462.0</v>
      </c>
      <c r="N21" t="n" s="0">
        <v>2361.0</v>
      </c>
    </row>
    <row r="22" spans="1:1" x14ac:dyDescent="0.3">
      <c r="A22" s="0">
        <v>2029</v>
      </c>
      <c r="B22" t="n" s="0">
        <v>3110.0</v>
      </c>
      <c r="C22" t="n" s="0">
        <v>2660.0</v>
      </c>
      <c r="D22" t="n" s="0">
        <v>2727.0</v>
      </c>
      <c r="E22" t="n" s="0">
        <v>2853.0</v>
      </c>
      <c r="F22" t="n" s="0">
        <v>2817.0</v>
      </c>
      <c r="G22" t="n" s="0">
        <v>2831.0</v>
      </c>
      <c r="H22" t="n" s="0">
        <v>2798.0</v>
      </c>
      <c r="I22" t="n" s="0">
        <v>3059.0</v>
      </c>
      <c r="J22" t="n" s="0">
        <v>2878.0</v>
      </c>
      <c r="K22" t="n" s="0">
        <v>2936.0</v>
      </c>
      <c r="L22" t="n" s="0">
        <v>2470.0</v>
      </c>
      <c r="M22" t="n" s="0">
        <v>2855.0</v>
      </c>
      <c r="N22" t="n" s="0">
        <v>2786.0</v>
      </c>
    </row>
    <row r="23" spans="1:1" x14ac:dyDescent="0.3">
      <c r="A23" s="0">
        <v>2030</v>
      </c>
      <c r="B23" t="n" s="0">
        <v>3403.0</v>
      </c>
      <c r="C23" t="n" s="0">
        <v>2941.0</v>
      </c>
      <c r="D23" t="n" s="0">
        <v>3015.0</v>
      </c>
      <c r="E23" t="n" s="0">
        <v>3147.0</v>
      </c>
      <c r="F23" t="n" s="0">
        <v>3124.0</v>
      </c>
      <c r="G23" t="n" s="0">
        <v>3102.0</v>
      </c>
      <c r="H23" t="n" s="0">
        <v>3072.0</v>
      </c>
      <c r="I23" t="n" s="0">
        <v>3356.0</v>
      </c>
      <c r="J23" t="n" s="0">
        <v>3163.0</v>
      </c>
      <c r="K23" t="n" s="0">
        <v>3223.0</v>
      </c>
      <c r="L23" t="n" s="0">
        <v>2790.0</v>
      </c>
      <c r="M23" t="n" s="0">
        <v>3114.0</v>
      </c>
      <c r="N23" t="n" s="0">
        <v>3075.0</v>
      </c>
    </row>
    <row r="24" spans="1:1" x14ac:dyDescent="0.3">
      <c r="A24" s="0">
        <v>2031</v>
      </c>
      <c r="B24" t="n" s="0">
        <v>3751.0</v>
      </c>
      <c r="C24" t="n" s="0">
        <v>3159.0</v>
      </c>
      <c r="D24" t="n" s="0">
        <v>3234.0</v>
      </c>
      <c r="E24" t="n" s="0">
        <v>3416.0</v>
      </c>
      <c r="F24" t="n" s="0">
        <v>3347.0</v>
      </c>
      <c r="G24" t="n" s="0">
        <v>3358.0</v>
      </c>
      <c r="H24" t="n" s="0">
        <v>3305.0</v>
      </c>
      <c r="I24" t="n" s="0">
        <v>3660.0</v>
      </c>
      <c r="J24" t="n" s="0">
        <v>3373.0</v>
      </c>
      <c r="K24" t="n" s="0">
        <v>3504.0</v>
      </c>
      <c r="L24" t="n" s="0">
        <v>3044.0</v>
      </c>
      <c r="M24" t="n" s="0">
        <v>3338.0</v>
      </c>
      <c r="N24" t="n" s="0">
        <v>3283.0</v>
      </c>
    </row>
    <row r="25" spans="1:1" x14ac:dyDescent="0.3">
      <c r="A25" s="0">
        <v>2032</v>
      </c>
      <c r="B25" t="n" s="0">
        <v>4214.0</v>
      </c>
      <c r="C25" t="n" s="0">
        <v>3421.0</v>
      </c>
      <c r="D25" t="n" s="0">
        <v>3529.0</v>
      </c>
      <c r="E25" t="n" s="0">
        <v>3744.0</v>
      </c>
      <c r="F25" t="n" s="0">
        <v>3645.0</v>
      </c>
      <c r="G25" t="n" s="0">
        <v>3685.0</v>
      </c>
      <c r="H25" t="n" s="0">
        <v>3616.0</v>
      </c>
      <c r="I25" t="n" s="0">
        <v>4056.0</v>
      </c>
      <c r="J25" t="n" s="0">
        <v>3676.0</v>
      </c>
      <c r="K25" t="n" s="0">
        <v>3890.0</v>
      </c>
      <c r="L25" t="n" s="0">
        <v>3309.0</v>
      </c>
      <c r="M25" t="n" s="0">
        <v>3657.0</v>
      </c>
      <c r="N25" t="n" s="0">
        <v>3554.0</v>
      </c>
    </row>
    <row r="26" spans="1:1" x14ac:dyDescent="0.3">
      <c r="A26" s="0">
        <v>2033</v>
      </c>
      <c r="B26" t="n" s="0">
        <v>4620.0</v>
      </c>
      <c r="C26" t="n" s="0">
        <v>3693.0</v>
      </c>
      <c r="D26" t="n" s="0">
        <v>3808.0</v>
      </c>
      <c r="E26" t="n" s="0">
        <v>4032.0</v>
      </c>
      <c r="F26" t="n" s="0">
        <v>3939.0</v>
      </c>
      <c r="G26" t="n" s="0">
        <v>3982.0</v>
      </c>
      <c r="H26" t="n" s="0">
        <v>3926.0</v>
      </c>
      <c r="I26" t="n" s="0">
        <v>4451.0</v>
      </c>
      <c r="J26" t="n" s="0">
        <v>3997.0</v>
      </c>
      <c r="K26" t="n" s="0">
        <v>4213.0</v>
      </c>
      <c r="L26" t="n" s="0">
        <v>3558.0</v>
      </c>
      <c r="M26" t="n" s="0">
        <v>3969.0</v>
      </c>
      <c r="N26" t="n" s="0">
        <v>3829.0</v>
      </c>
    </row>
    <row r="27" spans="1:1" x14ac:dyDescent="0.3">
      <c r="A27" s="0">
        <v>2034</v>
      </c>
      <c r="B27" t="n" s="0">
        <v>5030.0</v>
      </c>
      <c r="C27" t="n" s="0">
        <v>4007.0</v>
      </c>
      <c r="D27" t="n" s="0">
        <v>4104.0</v>
      </c>
      <c r="E27" t="n" s="0">
        <v>4363.0</v>
      </c>
      <c r="F27" t="n" s="0">
        <v>4257.0</v>
      </c>
      <c r="G27" t="n" s="0">
        <v>4305.0</v>
      </c>
      <c r="H27" t="n" s="0">
        <v>4225.0</v>
      </c>
      <c r="I27" t="n" s="0">
        <v>4867.0</v>
      </c>
      <c r="J27" t="n" s="0">
        <v>4358.0</v>
      </c>
      <c r="K27" t="n" s="0">
        <v>4544.0</v>
      </c>
      <c r="L27" t="n" s="0">
        <v>3849.0</v>
      </c>
      <c r="M27" t="n" s="0">
        <v>4307.0</v>
      </c>
      <c r="N27" t="n" s="0">
        <v>4174.0</v>
      </c>
    </row>
    <row r="28" spans="1:1" x14ac:dyDescent="0.3">
      <c r="A28" s="0">
        <v>2035</v>
      </c>
      <c r="B28" t="n" s="0">
        <v>5528.0</v>
      </c>
      <c r="C28" t="n" s="0">
        <v>4391.0</v>
      </c>
      <c r="D28" t="n" s="0">
        <v>4463.0</v>
      </c>
      <c r="E28" t="n" s="0">
        <v>4779.0</v>
      </c>
      <c r="F28" t="n" s="0">
        <v>4665.0</v>
      </c>
      <c r="G28" t="n" s="0">
        <v>4710.0</v>
      </c>
      <c r="H28" t="n" s="0">
        <v>4619.0</v>
      </c>
      <c r="I28" t="n" s="0">
        <v>5400.0</v>
      </c>
      <c r="J28" t="n" s="0">
        <v>4778.0</v>
      </c>
      <c r="K28" t="n" s="0">
        <v>5014.0</v>
      </c>
      <c r="L28" t="n" s="0">
        <v>4243.0</v>
      </c>
      <c r="M28" t="n" s="0">
        <v>4734.0</v>
      </c>
      <c r="N28" t="n" s="0">
        <v>4618.0</v>
      </c>
    </row>
    <row r="29" spans="1:1" x14ac:dyDescent="0.3">
      <c r="A29" s="0">
        <v>2036</v>
      </c>
      <c r="B29" t="n" s="0">
        <v>5978.0</v>
      </c>
      <c r="C29" t="n" s="0">
        <v>4703.0</v>
      </c>
      <c r="D29" t="n" s="0">
        <v>4780.0</v>
      </c>
      <c r="E29" t="n" s="0">
        <v>5166.0</v>
      </c>
      <c r="F29" t="n" s="0">
        <v>5037.0</v>
      </c>
      <c r="G29" t="n" s="0">
        <v>5090.0</v>
      </c>
      <c r="H29" t="n" s="0">
        <v>4949.0</v>
      </c>
      <c r="I29" t="n" s="0">
        <v>5860.0</v>
      </c>
      <c r="J29" t="n" s="0">
        <v>5118.0</v>
      </c>
      <c r="K29" t="n" s="0">
        <v>5413.0</v>
      </c>
      <c r="L29" t="n" s="0">
        <v>4621.0</v>
      </c>
      <c r="M29" t="n" s="0">
        <v>5068.0</v>
      </c>
      <c r="N29" t="n" s="0">
        <v>4985.0</v>
      </c>
    </row>
    <row r="30" spans="1:1" x14ac:dyDescent="0.3">
      <c r="A30" s="0">
        <v>2037</v>
      </c>
      <c r="B30" t="n" s="0">
        <v>6417.0</v>
      </c>
      <c r="C30" t="n" s="0">
        <v>4953.0</v>
      </c>
      <c r="D30" t="n" s="0">
        <v>5036.0</v>
      </c>
      <c r="E30" t="n" s="0">
        <v>5518.0</v>
      </c>
      <c r="F30" t="n" s="0">
        <v>5328.0</v>
      </c>
      <c r="G30" t="n" s="0">
        <v>5429.0</v>
      </c>
      <c r="H30" t="n" s="0">
        <v>5233.0</v>
      </c>
      <c r="I30" t="n" s="0">
        <v>6253.0</v>
      </c>
      <c r="J30" t="n" s="0">
        <v>5381.0</v>
      </c>
      <c r="K30" t="n" s="0">
        <v>5787.0</v>
      </c>
      <c r="L30" t="n" s="0">
        <v>4873.0</v>
      </c>
      <c r="M30" t="n" s="0">
        <v>5337.0</v>
      </c>
      <c r="N30" t="n" s="0">
        <v>5255.0</v>
      </c>
    </row>
    <row r="31" spans="1:1" x14ac:dyDescent="0.3">
      <c r="A31" s="0">
        <v>2038</v>
      </c>
      <c r="B31" t="n" s="0">
        <v>6964.0</v>
      </c>
      <c r="C31" t="n" s="0">
        <v>5280.0</v>
      </c>
      <c r="D31" t="n" s="0">
        <v>5361.0</v>
      </c>
      <c r="E31" t="n" s="0">
        <v>5950.0</v>
      </c>
      <c r="F31" t="n" s="0">
        <v>5695.0</v>
      </c>
      <c r="G31" t="n" s="0">
        <v>5856.0</v>
      </c>
      <c r="H31" t="n" s="0">
        <v>5606.0</v>
      </c>
      <c r="I31" t="n" s="0">
        <v>6743.0</v>
      </c>
      <c r="J31" t="n" s="0">
        <v>5723.0</v>
      </c>
      <c r="K31" t="n" s="0">
        <v>6294.0</v>
      </c>
      <c r="L31" t="n" s="0">
        <v>5140.0</v>
      </c>
      <c r="M31" t="n" s="0">
        <v>5727.0</v>
      </c>
      <c r="N31" t="n" s="0">
        <v>5595.0</v>
      </c>
    </row>
    <row r="32" spans="1:1" x14ac:dyDescent="0.3">
      <c r="A32" s="0">
        <v>2039</v>
      </c>
      <c r="B32" t="n" s="0">
        <v>7456.0</v>
      </c>
      <c r="C32" t="n" s="0">
        <v>5587.0</v>
      </c>
      <c r="D32" t="n" s="0">
        <v>5682.0</v>
      </c>
      <c r="E32" t="n" s="0">
        <v>6398.0</v>
      </c>
      <c r="F32" t="n" s="0">
        <v>6072.0</v>
      </c>
      <c r="G32" t="n" s="0">
        <v>6260.0</v>
      </c>
      <c r="H32" t="n" s="0">
        <v>5991.0</v>
      </c>
      <c r="I32" t="n" s="0">
        <v>7244.0</v>
      </c>
      <c r="J32" t="n" s="0">
        <v>6122.0</v>
      </c>
      <c r="K32" t="n" s="0">
        <v>6788.0</v>
      </c>
      <c r="L32" t="n" s="0">
        <v>5412.0</v>
      </c>
      <c r="M32" t="n" s="0">
        <v>6148.0</v>
      </c>
      <c r="N32" t="n" s="0">
        <v>5919.0</v>
      </c>
    </row>
    <row r="33" spans="1:1" x14ac:dyDescent="0.3">
      <c r="A33" s="0">
        <v>2040</v>
      </c>
      <c r="B33" t="n" s="0">
        <v>7947.0</v>
      </c>
      <c r="C33" t="n" s="0">
        <v>5945.0</v>
      </c>
      <c r="D33" t="n" s="0">
        <v>6039.0</v>
      </c>
      <c r="E33" t="n" s="0">
        <v>6829.0</v>
      </c>
      <c r="F33" t="n" s="0">
        <v>6514.0</v>
      </c>
      <c r="G33" t="n" s="0">
        <v>6703.0</v>
      </c>
      <c r="H33" t="n" s="0">
        <v>6410.0</v>
      </c>
      <c r="I33" t="n" s="0">
        <v>7765.0</v>
      </c>
      <c r="J33" t="n" s="0">
        <v>6567.0</v>
      </c>
      <c r="K33" t="n" s="0">
        <v>7263.0</v>
      </c>
      <c r="L33" t="n" s="0">
        <v>5712.0</v>
      </c>
      <c r="M33" t="n" s="0">
        <v>6609.0</v>
      </c>
      <c r="N33" t="n" s="0">
        <v>6333.0</v>
      </c>
    </row>
    <row r="34" spans="1:1" x14ac:dyDescent="0.3">
      <c r="A34" s="0">
        <v>2041</v>
      </c>
      <c r="B34" t="n" s="0">
        <v>8534.0</v>
      </c>
      <c r="C34" t="n" s="0">
        <v>6372.0</v>
      </c>
      <c r="D34" t="n" s="0">
        <v>6504.0</v>
      </c>
      <c r="E34" t="n" s="0">
        <v>7384.0</v>
      </c>
      <c r="F34" t="n" s="0">
        <v>7028.0</v>
      </c>
      <c r="G34" t="n" s="0">
        <v>7259.0</v>
      </c>
      <c r="H34" t="n" s="0">
        <v>6941.0</v>
      </c>
      <c r="I34" t="n" s="0">
        <v>8395.0</v>
      </c>
      <c r="J34" t="n" s="0">
        <v>7111.0</v>
      </c>
      <c r="K34" t="n" s="0">
        <v>7841.0</v>
      </c>
      <c r="L34" t="n" s="0">
        <v>6119.0</v>
      </c>
      <c r="M34" t="n" s="0">
        <v>7147.0</v>
      </c>
      <c r="N34" t="n" s="0">
        <v>6866.0</v>
      </c>
    </row>
    <row r="35" spans="1:1" x14ac:dyDescent="0.3">
      <c r="A35" s="0">
        <v>2042</v>
      </c>
      <c r="B35" t="n" s="0">
        <v>9094.0</v>
      </c>
      <c r="C35" t="n" s="0">
        <v>6797.0</v>
      </c>
      <c r="D35" t="n" s="0">
        <v>6946.0</v>
      </c>
      <c r="E35" t="n" s="0">
        <v>7947.0</v>
      </c>
      <c r="F35" t="n" s="0">
        <v>7583.0</v>
      </c>
      <c r="G35" t="n" s="0">
        <v>7793.0</v>
      </c>
      <c r="H35" t="n" s="0">
        <v>7453.0</v>
      </c>
      <c r="I35" t="n" s="0">
        <v>8979.0</v>
      </c>
      <c r="J35" t="n" s="0">
        <v>7646.0</v>
      </c>
      <c r="K35" t="n" s="0">
        <v>8391.0</v>
      </c>
      <c r="L35" t="n" s="0">
        <v>6546.0</v>
      </c>
      <c r="M35" t="n" s="0">
        <v>7685.0</v>
      </c>
      <c r="N35" t="n" s="0">
        <v>7381.0</v>
      </c>
    </row>
    <row r="36" spans="1:1" x14ac:dyDescent="0.3">
      <c r="A36" s="0">
        <v>2043</v>
      </c>
      <c r="B36" t="n" s="0">
        <v>9631.0</v>
      </c>
      <c r="C36" t="n" s="0">
        <v>7218.0</v>
      </c>
      <c r="D36" t="n" s="0">
        <v>7350.0</v>
      </c>
      <c r="E36" t="n" s="0">
        <v>8425.0</v>
      </c>
      <c r="F36" t="n" s="0">
        <v>8032.0</v>
      </c>
      <c r="G36" t="n" s="0">
        <v>8257.0</v>
      </c>
      <c r="H36" t="n" s="0">
        <v>7916.0</v>
      </c>
      <c r="I36" t="n" s="0">
        <v>9458.0</v>
      </c>
      <c r="J36" t="n" s="0">
        <v>8111.0</v>
      </c>
      <c r="K36" t="n" s="0">
        <v>8890.0</v>
      </c>
      <c r="L36" t="n" s="0">
        <v>6905.0</v>
      </c>
      <c r="M36" t="n" s="0">
        <v>8130.0</v>
      </c>
      <c r="N36" t="n" s="0">
        <v>7846.0</v>
      </c>
    </row>
    <row r="37" spans="1:1" x14ac:dyDescent="0.3">
      <c r="A37" s="0">
        <v>2044</v>
      </c>
      <c r="B37" t="n" s="0">
        <v>10269.0</v>
      </c>
      <c r="C37" t="n" s="0">
        <v>7677.0</v>
      </c>
      <c r="D37" t="n" s="0">
        <v>7859.0</v>
      </c>
      <c r="E37" t="n" s="0">
        <v>8973.0</v>
      </c>
      <c r="F37" t="n" s="0">
        <v>8530.0</v>
      </c>
      <c r="G37" t="n" s="0">
        <v>8775.0</v>
      </c>
      <c r="H37" t="n" s="0">
        <v>8461.0</v>
      </c>
      <c r="I37" t="n" s="0">
        <v>10032.0</v>
      </c>
      <c r="J37" t="n" s="0">
        <v>8612.0</v>
      </c>
      <c r="K37" t="n" s="0">
        <v>9519.0</v>
      </c>
      <c r="L37" t="n" s="0">
        <v>7287.0</v>
      </c>
      <c r="M37" t="n" s="0">
        <v>8657.0</v>
      </c>
      <c r="N37" t="n" s="0">
        <v>8371.0</v>
      </c>
    </row>
    <row r="38" spans="1:1" x14ac:dyDescent="0.3">
      <c r="A38" s="0">
        <v>2045</v>
      </c>
      <c r="B38" t="n" s="0">
        <v>10866.0</v>
      </c>
      <c r="C38" t="n" s="0">
        <v>8150.0</v>
      </c>
      <c r="D38" t="n" s="0">
        <v>8355.0</v>
      </c>
      <c r="E38" t="n" s="0">
        <v>9501.0</v>
      </c>
      <c r="F38" t="n" s="0">
        <v>9044.0</v>
      </c>
      <c r="G38" t="n" s="0">
        <v>9295.0</v>
      </c>
      <c r="H38" t="n" s="0">
        <v>9012.0</v>
      </c>
      <c r="I38" t="n" s="0">
        <v>10604.0</v>
      </c>
      <c r="J38" t="n" s="0">
        <v>9155.0</v>
      </c>
      <c r="K38" t="n" s="0">
        <v>10116.0</v>
      </c>
      <c r="L38" t="n" s="0">
        <v>7678.0</v>
      </c>
      <c r="M38" t="n" s="0">
        <v>9234.0</v>
      </c>
      <c r="N38" t="n" s="0">
        <v>8865.0</v>
      </c>
    </row>
    <row r="39" spans="1:1" x14ac:dyDescent="0.3">
      <c r="A39" s="0">
        <v>2046</v>
      </c>
      <c r="B39" t="n" s="0">
        <v>11448.0</v>
      </c>
      <c r="C39" t="n" s="0">
        <v>8663.0</v>
      </c>
      <c r="D39" t="n" s="0">
        <v>8895.0</v>
      </c>
      <c r="E39" t="n" s="0">
        <v>10024.0</v>
      </c>
      <c r="F39" t="n" s="0">
        <v>9620.0</v>
      </c>
      <c r="G39" t="n" s="0">
        <v>9838.0</v>
      </c>
      <c r="H39" t="n" s="0">
        <v>9571.0</v>
      </c>
      <c r="I39" t="n" s="0">
        <v>11232.0</v>
      </c>
      <c r="J39" t="n" s="0">
        <v>9730.0</v>
      </c>
      <c r="K39" t="n" s="0">
        <v>10671.0</v>
      </c>
      <c r="L39" t="n" s="0">
        <v>8124.0</v>
      </c>
      <c r="M39" t="n" s="0">
        <v>9824.0</v>
      </c>
      <c r="N39" t="n" s="0">
        <v>9444.0</v>
      </c>
    </row>
    <row r="40" spans="1:1" x14ac:dyDescent="0.3">
      <c r="A40" s="0">
        <v>2047</v>
      </c>
      <c r="B40" t="n" s="0">
        <v>12116.0</v>
      </c>
      <c r="C40" t="n" s="0">
        <v>9235.0</v>
      </c>
      <c r="D40" t="n" s="0">
        <v>9507.0</v>
      </c>
      <c r="E40" t="n" s="0">
        <v>10672.0</v>
      </c>
      <c r="F40" t="n" s="0">
        <v>10275.0</v>
      </c>
      <c r="G40" t="n" s="0">
        <v>10506.0</v>
      </c>
      <c r="H40" t="n" s="0">
        <v>10210.0</v>
      </c>
      <c r="I40" t="n" s="0">
        <v>11976.0</v>
      </c>
      <c r="J40" t="n" s="0">
        <v>10381.0</v>
      </c>
      <c r="K40" t="n" s="0">
        <v>11340.0</v>
      </c>
      <c r="L40" t="n" s="0">
        <v>8682.0</v>
      </c>
      <c r="M40" t="n" s="0">
        <v>10494.0</v>
      </c>
      <c r="N40" t="n" s="0">
        <v>10098.0</v>
      </c>
    </row>
    <row r="41" spans="1:1" x14ac:dyDescent="0.3">
      <c r="A41" s="0">
        <v>2048</v>
      </c>
      <c r="B41" t="n" s="0">
        <v>12750.0</v>
      </c>
      <c r="C41" t="n" s="0">
        <v>9791.0</v>
      </c>
      <c r="D41" t="n" s="0">
        <v>10078.0</v>
      </c>
      <c r="E41" t="n" s="0">
        <v>11341.0</v>
      </c>
      <c r="F41" t="n" s="0">
        <v>10940.0</v>
      </c>
      <c r="G41" t="n" s="0">
        <v>11136.0</v>
      </c>
      <c r="H41" t="n" s="0">
        <v>10844.0</v>
      </c>
      <c r="I41" t="n" s="0">
        <v>12672.0</v>
      </c>
      <c r="J41" t="n" s="0">
        <v>11042.0</v>
      </c>
      <c r="K41" t="n" s="0">
        <v>11998.0</v>
      </c>
      <c r="L41" t="n" s="0">
        <v>9302.0</v>
      </c>
      <c r="M41" t="n" s="0">
        <v>11153.0</v>
      </c>
      <c r="N41" t="n" s="0">
        <v>10737.0</v>
      </c>
    </row>
    <row r="42" spans="1:1" x14ac:dyDescent="0.3">
      <c r="A42" s="0">
        <v>2049</v>
      </c>
      <c r="B42" t="n" s="0">
        <v>13338.0</v>
      </c>
      <c r="C42" t="n" s="0">
        <v>10348.0</v>
      </c>
      <c r="D42" t="n" s="0">
        <v>10605.0</v>
      </c>
      <c r="E42" t="n" s="0">
        <v>11936.0</v>
      </c>
      <c r="F42" t="n" s="0">
        <v>11509.0</v>
      </c>
      <c r="G42" t="n" s="0">
        <v>11713.0</v>
      </c>
      <c r="H42" t="n" s="0">
        <v>11392.0</v>
      </c>
      <c r="I42" t="n" s="0">
        <v>13242.0</v>
      </c>
      <c r="J42" t="n" s="0">
        <v>11631.0</v>
      </c>
      <c r="K42" t="n" s="0">
        <v>12611.0</v>
      </c>
      <c r="L42" t="n" s="0">
        <v>9862.0</v>
      </c>
      <c r="M42" t="n" s="0">
        <v>11695.0</v>
      </c>
      <c r="N42" t="n" s="0">
        <v>11319.0</v>
      </c>
    </row>
    <row r="43" spans="1:1" x14ac:dyDescent="0.3">
      <c r="A43" s="0">
        <v>2050</v>
      </c>
      <c r="B43" t="n" s="0">
        <v>14040.0</v>
      </c>
      <c r="C43" t="n" s="0">
        <v>10904.0</v>
      </c>
      <c r="D43" t="n" s="0">
        <v>11195.0</v>
      </c>
      <c r="E43" t="n" s="0">
        <v>12554.0</v>
      </c>
      <c r="F43" t="n" s="0">
        <v>12098.0</v>
      </c>
      <c r="G43" t="n" s="0">
        <v>12323.0</v>
      </c>
      <c r="H43" t="n" s="0">
        <v>12019.0</v>
      </c>
      <c r="I43" t="n" s="0">
        <v>13878.0</v>
      </c>
      <c r="J43" t="n" s="0">
        <v>12221.0</v>
      </c>
      <c r="K43" t="n" s="0">
        <v>13317.0</v>
      </c>
      <c r="L43" t="n" s="0">
        <v>10404.0</v>
      </c>
      <c r="M43" t="n" s="0">
        <v>12291.0</v>
      </c>
      <c r="N43" t="n" s="0">
        <v>11935.0</v>
      </c>
    </row>
    <row r="45" spans="1:1" x14ac:dyDescent="0.3">
      <c r="A45" t="s" s="0">
        <v>22</v>
      </c>
    </row>
    <row r="46" spans="1:1" x14ac:dyDescent="0.3">
      <c r="A46" t="s" s="0">
        <v>23</v>
      </c>
    </row>
    <row r="47" spans="1:1" x14ac:dyDescent="0.3">
      <c r="A47" t="s" s="0">
        <v>26</v>
      </c>
    </row>
    <row r="48" spans="1:1" x14ac:dyDescent="0.3">
      <c r="A48" t="s" s="0">
        <v>24</v>
      </c>
    </row>
    <row r="49" spans="1:1" x14ac:dyDescent="0.3">
      <c r="A49" t="s" s="0">
        <v>25</v>
      </c>
    </row>
    <row r="50" spans="1:1" x14ac:dyDescent="0.3">
      <c r="A50" t="s" s="0">
        <v>32</v>
      </c>
    </row>
    <row r="51" spans="1:1" x14ac:dyDescent="0.3">
      <c r="A51" t="s" s="0">
        <v>27</v>
      </c>
    </row>
    <row r="52" spans="1:1" x14ac:dyDescent="0.3">
      <c r="A52" t="s" s="0">
        <v>28</v>
      </c>
    </row>
    <row r="53" spans="1:1" x14ac:dyDescent="0.3">
      <c r="A53" t="s" s="0">
        <v>29</v>
      </c>
    </row>
    <row r="54" spans="1:1" x14ac:dyDescent="0.3">
      <c r="A54" t="s" s="0">
        <v>30</v>
      </c>
    </row>
    <row r="55" spans="1:1" x14ac:dyDescent="0.3">
      <c r="A55" t="s" s="0">
        <v>31</v>
      </c>
    </row>
    <row r="56" spans="1:1" x14ac:dyDescent="0.3">
      <c r="A56" t="s" s="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sensitivity_params_ECs</vt:lpstr>
      <vt:lpstr>sensitivity_params_projects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2024-08-21T14:26:48Z</dcterms:created>
  <dc:creator>LOOMANS Naud</dc:creator>
  <cp:lastModifiedBy>Naud Loomans</cp:lastModifiedBy>
  <dcterms:modified xsi:type="dcterms:W3CDTF">2025-09-25T15:04:33Z</dcterms:modified>
</cp:coreProperties>
</file>