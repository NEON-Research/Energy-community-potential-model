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8_{316E0B64-0718-4BF5-919D-F0264D5F10B8}" xr6:coauthVersionLast="47" xr6:coauthVersionMax="47" xr10:uidLastSave="{00000000-0000-0000-0000-000000000000}"/>
  <bookViews>
    <workbookView xWindow="28680" yWindow="-120" windowWidth="29040" windowHeight="17520" xr2:uid="{C9885265-92F8-4143-8AA0-FF6432230651}"/>
  </bookViews>
  <sheets>
    <sheet name="assumptions" sheetId="1" r:id="rId1"/>
    <sheet name="baseCase_ECs" sheetId="3" r:id="rId2"/>
    <sheet name="baseCase_projects" sheetId="2" r:id="rId3"/>
    <sheet name="baseCase_installedCap" sheetId="4" r:id="rId4"/>
    <sheet name="baseCase_percMemb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" l="1"/>
  <c r="AM5" i="1"/>
  <c r="AN5" i="1"/>
  <c r="AO5" i="1"/>
  <c r="AP5" i="1"/>
  <c r="AQ5" i="1"/>
  <c r="AR5" i="1"/>
  <c r="AS5" i="1"/>
  <c r="AT5" i="1"/>
  <c r="AL6" i="1"/>
  <c r="AM6" i="1"/>
  <c r="AN6" i="1"/>
  <c r="AO6" i="1"/>
  <c r="AP6" i="1"/>
  <c r="AQ6" i="1"/>
  <c r="AR6" i="1"/>
  <c r="AS6" i="1"/>
  <c r="AT6" i="1"/>
  <c r="AL7" i="1"/>
  <c r="AM7" i="1"/>
  <c r="AN7" i="1"/>
  <c r="AO7" i="1"/>
  <c r="AP7" i="1"/>
  <c r="AQ7" i="1"/>
  <c r="AR7" i="1"/>
  <c r="AS7" i="1"/>
  <c r="AT7" i="1"/>
  <c r="AL8" i="1"/>
  <c r="AM8" i="1"/>
  <c r="AN8" i="1"/>
  <c r="AO8" i="1"/>
  <c r="AP8" i="1"/>
  <c r="AQ8" i="1"/>
  <c r="AR8" i="1"/>
  <c r="AS8" i="1"/>
  <c r="AT8" i="1"/>
  <c r="AL9" i="1"/>
  <c r="AM9" i="1"/>
  <c r="AN9" i="1"/>
  <c r="AO9" i="1"/>
  <c r="AP9" i="1"/>
  <c r="AQ9" i="1"/>
  <c r="AR9" i="1"/>
  <c r="AS9" i="1"/>
  <c r="AT9" i="1"/>
  <c r="AL10" i="1"/>
  <c r="AM10" i="1"/>
  <c r="AN10" i="1"/>
  <c r="AO10" i="1"/>
  <c r="AP10" i="1"/>
  <c r="AQ10" i="1"/>
  <c r="AR10" i="1"/>
  <c r="AS10" i="1"/>
  <c r="AT10" i="1"/>
  <c r="AL11" i="1"/>
  <c r="AM11" i="1"/>
  <c r="AN11" i="1"/>
  <c r="AO11" i="1"/>
  <c r="AP11" i="1"/>
  <c r="AQ11" i="1"/>
  <c r="AR11" i="1"/>
  <c r="AS11" i="1"/>
  <c r="AT11" i="1"/>
  <c r="AL12" i="1"/>
  <c r="AM12" i="1"/>
  <c r="AN12" i="1"/>
  <c r="AO12" i="1"/>
  <c r="AP12" i="1"/>
  <c r="AQ12" i="1"/>
  <c r="AR12" i="1"/>
  <c r="AS12" i="1"/>
  <c r="AT12" i="1"/>
  <c r="AL13" i="1"/>
  <c r="AM13" i="1"/>
  <c r="AN13" i="1"/>
  <c r="AO13" i="1"/>
  <c r="AP13" i="1"/>
  <c r="AQ13" i="1"/>
  <c r="AR13" i="1"/>
  <c r="AS13" i="1"/>
  <c r="AT13" i="1"/>
  <c r="AL14" i="1"/>
  <c r="AM14" i="1"/>
  <c r="AN14" i="1"/>
  <c r="AO14" i="1"/>
  <c r="AP14" i="1"/>
  <c r="AQ14" i="1"/>
  <c r="AR14" i="1"/>
  <c r="AS14" i="1"/>
  <c r="AT14" i="1"/>
  <c r="AL15" i="1"/>
  <c r="AM15" i="1"/>
  <c r="AN15" i="1"/>
  <c r="AO15" i="1"/>
  <c r="AP15" i="1"/>
  <c r="AQ15" i="1"/>
  <c r="AR15" i="1"/>
  <c r="AS15" i="1"/>
  <c r="AT15" i="1"/>
  <c r="AL16" i="1"/>
  <c r="AM16" i="1"/>
  <c r="AN16" i="1"/>
  <c r="AO16" i="1"/>
  <c r="AP16" i="1"/>
  <c r="AQ16" i="1"/>
  <c r="AR16" i="1"/>
  <c r="AS16" i="1"/>
  <c r="AT16" i="1"/>
  <c r="AL17" i="1"/>
  <c r="AM17" i="1"/>
  <c r="AN17" i="1"/>
  <c r="AO17" i="1"/>
  <c r="AP17" i="1"/>
  <c r="AQ17" i="1"/>
  <c r="AR17" i="1"/>
  <c r="AS17" i="1"/>
  <c r="AT17" i="1"/>
  <c r="AL18" i="1"/>
  <c r="AM18" i="1"/>
  <c r="AN18" i="1"/>
  <c r="AO18" i="1"/>
  <c r="AP18" i="1"/>
  <c r="AQ18" i="1"/>
  <c r="AR18" i="1"/>
  <c r="AS18" i="1"/>
  <c r="AT18" i="1"/>
  <c r="AL19" i="1"/>
  <c r="AM19" i="1"/>
  <c r="AN19" i="1"/>
  <c r="AO19" i="1"/>
  <c r="AP19" i="1"/>
  <c r="AQ19" i="1"/>
  <c r="AR19" i="1"/>
  <c r="AS19" i="1"/>
  <c r="AT19" i="1"/>
  <c r="AL20" i="1"/>
  <c r="AM20" i="1"/>
  <c r="AN20" i="1"/>
  <c r="AO20" i="1"/>
  <c r="AP20" i="1"/>
  <c r="AQ20" i="1"/>
  <c r="AR20" i="1"/>
  <c r="AS20" i="1"/>
  <c r="AT20" i="1"/>
  <c r="AL21" i="1"/>
  <c r="AM21" i="1"/>
  <c r="AN21" i="1"/>
  <c r="AO21" i="1"/>
  <c r="AP21" i="1"/>
  <c r="AQ21" i="1"/>
  <c r="AR21" i="1"/>
  <c r="AS21" i="1"/>
  <c r="AT21" i="1"/>
  <c r="AL22" i="1"/>
  <c r="AM22" i="1"/>
  <c r="AN22" i="1"/>
  <c r="AO22" i="1"/>
  <c r="AP22" i="1"/>
  <c r="AQ22" i="1"/>
  <c r="AR22" i="1"/>
  <c r="AS22" i="1"/>
  <c r="AT22" i="1"/>
  <c r="AL23" i="1"/>
  <c r="AM23" i="1"/>
  <c r="AN23" i="1"/>
  <c r="AO23" i="1"/>
  <c r="AP23" i="1"/>
  <c r="AQ23" i="1"/>
  <c r="AR23" i="1"/>
  <c r="AS23" i="1"/>
  <c r="AT23" i="1"/>
  <c r="AL24" i="1"/>
  <c r="AM24" i="1"/>
  <c r="AN24" i="1"/>
  <c r="AO24" i="1"/>
  <c r="AP24" i="1"/>
  <c r="AQ24" i="1"/>
  <c r="AR24" i="1"/>
  <c r="AS24" i="1"/>
  <c r="AT24" i="1"/>
  <c r="AL25" i="1"/>
  <c r="AM25" i="1"/>
  <c r="AN25" i="1"/>
  <c r="AO25" i="1"/>
  <c r="AP25" i="1"/>
  <c r="AQ25" i="1"/>
  <c r="AR25" i="1"/>
  <c r="AS25" i="1"/>
  <c r="AT25" i="1"/>
  <c r="AL26" i="1"/>
  <c r="AM26" i="1"/>
  <c r="AN26" i="1"/>
  <c r="AO26" i="1"/>
  <c r="AP26" i="1"/>
  <c r="AQ26" i="1"/>
  <c r="AR26" i="1"/>
  <c r="AS26" i="1"/>
  <c r="AT26" i="1"/>
  <c r="AL27" i="1"/>
  <c r="AM27" i="1"/>
  <c r="AN27" i="1"/>
  <c r="AO27" i="1"/>
  <c r="AP27" i="1"/>
  <c r="AQ27" i="1"/>
  <c r="AR27" i="1"/>
  <c r="AS27" i="1"/>
  <c r="AT27" i="1"/>
  <c r="AL28" i="1"/>
  <c r="AM28" i="1"/>
  <c r="AN28" i="1"/>
  <c r="AO28" i="1"/>
  <c r="AP28" i="1"/>
  <c r="AQ28" i="1"/>
  <c r="AR28" i="1"/>
  <c r="AS28" i="1"/>
  <c r="AT28" i="1"/>
  <c r="AL29" i="1"/>
  <c r="AM29" i="1"/>
  <c r="AN29" i="1"/>
  <c r="AO29" i="1"/>
  <c r="AP29" i="1"/>
  <c r="AQ29" i="1"/>
  <c r="AR29" i="1"/>
  <c r="AS29" i="1"/>
  <c r="AT29" i="1"/>
  <c r="AL30" i="1"/>
  <c r="AM30" i="1"/>
  <c r="AN30" i="1"/>
  <c r="AO30" i="1"/>
  <c r="AP30" i="1"/>
  <c r="AQ30" i="1"/>
  <c r="AR30" i="1"/>
  <c r="AS30" i="1"/>
  <c r="AT30" i="1"/>
  <c r="AL31" i="1"/>
  <c r="AM31" i="1"/>
  <c r="AN31" i="1"/>
  <c r="AO31" i="1"/>
  <c r="AP31" i="1"/>
  <c r="AQ31" i="1"/>
  <c r="AR31" i="1"/>
  <c r="AS31" i="1"/>
  <c r="AT31" i="1"/>
  <c r="AL32" i="1"/>
  <c r="AM32" i="1"/>
  <c r="AN32" i="1"/>
  <c r="AO32" i="1"/>
  <c r="AP32" i="1"/>
  <c r="AQ32" i="1"/>
  <c r="AR32" i="1"/>
  <c r="AS32" i="1"/>
  <c r="AT32" i="1"/>
  <c r="AL33" i="1"/>
  <c r="AM33" i="1"/>
  <c r="AN33" i="1"/>
  <c r="AO33" i="1"/>
  <c r="AP33" i="1"/>
  <c r="AQ33" i="1"/>
  <c r="AR33" i="1"/>
  <c r="AS33" i="1"/>
  <c r="AT33" i="1"/>
  <c r="AL34" i="1"/>
  <c r="AM34" i="1"/>
  <c r="AN34" i="1"/>
  <c r="AO34" i="1"/>
  <c r="AP34" i="1"/>
  <c r="AQ34" i="1"/>
  <c r="AR34" i="1"/>
  <c r="AS34" i="1"/>
  <c r="AT34" i="1"/>
  <c r="AL35" i="1"/>
  <c r="AM35" i="1"/>
  <c r="AN35" i="1"/>
  <c r="AO35" i="1"/>
  <c r="AP35" i="1"/>
  <c r="AQ35" i="1"/>
  <c r="AR35" i="1"/>
  <c r="AS35" i="1"/>
  <c r="AT35" i="1"/>
  <c r="AL36" i="1"/>
  <c r="AM36" i="1"/>
  <c r="AN36" i="1"/>
  <c r="AO36" i="1"/>
  <c r="AP36" i="1"/>
  <c r="AQ36" i="1"/>
  <c r="AR36" i="1"/>
  <c r="AS36" i="1"/>
  <c r="AT36" i="1"/>
  <c r="AL37" i="1"/>
  <c r="AM37" i="1"/>
  <c r="AN37" i="1"/>
  <c r="AO37" i="1"/>
  <c r="AP37" i="1"/>
  <c r="AQ37" i="1"/>
  <c r="AR37" i="1"/>
  <c r="AS37" i="1"/>
  <c r="AT37" i="1"/>
  <c r="AL38" i="1"/>
  <c r="AM38" i="1"/>
  <c r="AN38" i="1"/>
  <c r="AO38" i="1"/>
  <c r="AP38" i="1"/>
  <c r="AQ38" i="1"/>
  <c r="AR38" i="1"/>
  <c r="AS38" i="1"/>
  <c r="AT38" i="1"/>
  <c r="AL39" i="1"/>
  <c r="AM39" i="1"/>
  <c r="AN39" i="1"/>
  <c r="AO39" i="1"/>
  <c r="AP39" i="1"/>
  <c r="AQ39" i="1"/>
  <c r="AR39" i="1"/>
  <c r="AS39" i="1"/>
  <c r="AT39" i="1"/>
  <c r="AL40" i="1"/>
  <c r="AM40" i="1"/>
  <c r="AN40" i="1"/>
  <c r="AO40" i="1"/>
  <c r="AP40" i="1"/>
  <c r="AQ40" i="1"/>
  <c r="AR40" i="1"/>
  <c r="AS40" i="1"/>
  <c r="AT40" i="1"/>
  <c r="AL41" i="1"/>
  <c r="AM41" i="1"/>
  <c r="AN41" i="1"/>
  <c r="AO41" i="1"/>
  <c r="AP41" i="1"/>
  <c r="AQ41" i="1"/>
  <c r="AR41" i="1"/>
  <c r="AS41" i="1"/>
  <c r="AT41" i="1"/>
  <c r="AL42" i="1"/>
  <c r="AM42" i="1"/>
  <c r="AN42" i="1"/>
  <c r="AO42" i="1"/>
  <c r="AP42" i="1"/>
  <c r="AQ42" i="1"/>
  <c r="AR42" i="1"/>
  <c r="AS42" i="1"/>
  <c r="AT42" i="1"/>
  <c r="AL43" i="1"/>
  <c r="AM43" i="1"/>
  <c r="AN43" i="1"/>
  <c r="AO43" i="1"/>
  <c r="AP43" i="1"/>
  <c r="AQ43" i="1"/>
  <c r="AR43" i="1"/>
  <c r="AS43" i="1"/>
  <c r="AT43" i="1"/>
  <c r="AL44" i="1"/>
  <c r="AM44" i="1"/>
  <c r="AN44" i="1"/>
  <c r="AO44" i="1"/>
  <c r="AP44" i="1"/>
  <c r="AQ44" i="1"/>
  <c r="AR44" i="1"/>
  <c r="AS44" i="1"/>
  <c r="AT44" i="1"/>
  <c r="AL45" i="1"/>
  <c r="AM45" i="1"/>
  <c r="AN45" i="1"/>
  <c r="AO45" i="1"/>
  <c r="AP45" i="1"/>
  <c r="AQ45" i="1"/>
  <c r="AR45" i="1"/>
  <c r="AS45" i="1"/>
  <c r="AT45" i="1"/>
  <c r="AT4" i="1"/>
  <c r="AS4" i="1"/>
  <c r="AR4" i="1"/>
  <c r="AQ4" i="1"/>
  <c r="AP4" i="1"/>
  <c r="AO4" i="1"/>
  <c r="AN4" i="1"/>
  <c r="AM4" i="1"/>
  <c r="AL4" i="1"/>
  <c r="H5" i="1"/>
  <c r="I5" i="1"/>
  <c r="J5" i="1"/>
  <c r="K5" i="1"/>
  <c r="L5" i="1"/>
  <c r="M5" i="1"/>
  <c r="N5" i="1"/>
  <c r="O5" i="1"/>
  <c r="P5" i="1"/>
  <c r="H6" i="1"/>
  <c r="I6" i="1"/>
  <c r="J6" i="1"/>
  <c r="K6" i="1"/>
  <c r="L6" i="1"/>
  <c r="M6" i="1"/>
  <c r="N6" i="1"/>
  <c r="O6" i="1"/>
  <c r="P6" i="1"/>
  <c r="H7" i="1"/>
  <c r="I7" i="1"/>
  <c r="J7" i="1"/>
  <c r="K7" i="1"/>
  <c r="L7" i="1"/>
  <c r="M7" i="1"/>
  <c r="N7" i="1"/>
  <c r="O7" i="1"/>
  <c r="P7" i="1"/>
  <c r="H8" i="1"/>
  <c r="I8" i="1"/>
  <c r="J8" i="1"/>
  <c r="K8" i="1"/>
  <c r="L8" i="1"/>
  <c r="M8" i="1"/>
  <c r="N8" i="1"/>
  <c r="O8" i="1"/>
  <c r="P8" i="1"/>
  <c r="H9" i="1"/>
  <c r="I9" i="1"/>
  <c r="J9" i="1"/>
  <c r="K9" i="1"/>
  <c r="L9" i="1"/>
  <c r="M9" i="1"/>
  <c r="N9" i="1"/>
  <c r="O9" i="1"/>
  <c r="P9" i="1"/>
  <c r="H10" i="1"/>
  <c r="I10" i="1"/>
  <c r="J10" i="1"/>
  <c r="K10" i="1"/>
  <c r="L10" i="1"/>
  <c r="M10" i="1"/>
  <c r="N10" i="1"/>
  <c r="O10" i="1"/>
  <c r="P10" i="1"/>
  <c r="H11" i="1"/>
  <c r="I11" i="1"/>
  <c r="J11" i="1"/>
  <c r="K11" i="1"/>
  <c r="L11" i="1"/>
  <c r="M11" i="1"/>
  <c r="N11" i="1"/>
  <c r="O11" i="1"/>
  <c r="P11" i="1"/>
  <c r="H12" i="1"/>
  <c r="I12" i="1"/>
  <c r="J12" i="1"/>
  <c r="K12" i="1"/>
  <c r="L12" i="1"/>
  <c r="M12" i="1"/>
  <c r="N12" i="1"/>
  <c r="O12" i="1"/>
  <c r="P12" i="1"/>
  <c r="H13" i="1"/>
  <c r="I13" i="1"/>
  <c r="J13" i="1"/>
  <c r="K13" i="1"/>
  <c r="L13" i="1"/>
  <c r="M13" i="1"/>
  <c r="N13" i="1"/>
  <c r="O13" i="1"/>
  <c r="P13" i="1"/>
  <c r="H14" i="1"/>
  <c r="I14" i="1"/>
  <c r="J14" i="1"/>
  <c r="K14" i="1"/>
  <c r="L14" i="1"/>
  <c r="M14" i="1"/>
  <c r="N14" i="1"/>
  <c r="O14" i="1"/>
  <c r="P14" i="1"/>
  <c r="H15" i="1"/>
  <c r="I15" i="1"/>
  <c r="J15" i="1"/>
  <c r="K15" i="1"/>
  <c r="L15" i="1"/>
  <c r="M15" i="1"/>
  <c r="N15" i="1"/>
  <c r="O15" i="1"/>
  <c r="P15" i="1"/>
  <c r="H16" i="1"/>
  <c r="I16" i="1"/>
  <c r="J16" i="1"/>
  <c r="K16" i="1"/>
  <c r="L16" i="1"/>
  <c r="M16" i="1"/>
  <c r="N16" i="1"/>
  <c r="O16" i="1"/>
  <c r="P16" i="1"/>
  <c r="H17" i="1"/>
  <c r="I17" i="1"/>
  <c r="J17" i="1"/>
  <c r="K17" i="1"/>
  <c r="L17" i="1"/>
  <c r="M17" i="1"/>
  <c r="N17" i="1"/>
  <c r="O17" i="1"/>
  <c r="P17" i="1"/>
  <c r="H18" i="1"/>
  <c r="I18" i="1"/>
  <c r="J18" i="1"/>
  <c r="K18" i="1"/>
  <c r="L18" i="1"/>
  <c r="M18" i="1"/>
  <c r="N18" i="1"/>
  <c r="O18" i="1"/>
  <c r="P18" i="1"/>
  <c r="H19" i="1"/>
  <c r="I19" i="1"/>
  <c r="J19" i="1"/>
  <c r="K19" i="1"/>
  <c r="L19" i="1"/>
  <c r="M19" i="1"/>
  <c r="N19" i="1"/>
  <c r="O19" i="1"/>
  <c r="P19" i="1"/>
  <c r="H20" i="1"/>
  <c r="I20" i="1"/>
  <c r="J20" i="1"/>
  <c r="K20" i="1"/>
  <c r="L20" i="1"/>
  <c r="M20" i="1"/>
  <c r="N20" i="1"/>
  <c r="O20" i="1"/>
  <c r="P20" i="1"/>
  <c r="H21" i="1"/>
  <c r="I21" i="1"/>
  <c r="J21" i="1"/>
  <c r="K21" i="1"/>
  <c r="L21" i="1"/>
  <c r="M21" i="1"/>
  <c r="N21" i="1"/>
  <c r="O21" i="1"/>
  <c r="P21" i="1"/>
  <c r="H22" i="1"/>
  <c r="I22" i="1"/>
  <c r="J22" i="1"/>
  <c r="K22" i="1"/>
  <c r="L22" i="1"/>
  <c r="M22" i="1"/>
  <c r="N22" i="1"/>
  <c r="O22" i="1"/>
  <c r="P22" i="1"/>
  <c r="H23" i="1"/>
  <c r="I23" i="1"/>
  <c r="J23" i="1"/>
  <c r="K23" i="1"/>
  <c r="L23" i="1"/>
  <c r="M23" i="1"/>
  <c r="N23" i="1"/>
  <c r="O23" i="1"/>
  <c r="P23" i="1"/>
  <c r="H24" i="1"/>
  <c r="I24" i="1"/>
  <c r="J24" i="1"/>
  <c r="K24" i="1"/>
  <c r="L24" i="1"/>
  <c r="M24" i="1"/>
  <c r="N24" i="1"/>
  <c r="O24" i="1"/>
  <c r="P24" i="1"/>
  <c r="H25" i="1"/>
  <c r="I25" i="1"/>
  <c r="J25" i="1"/>
  <c r="K25" i="1"/>
  <c r="L25" i="1"/>
  <c r="M25" i="1"/>
  <c r="N25" i="1"/>
  <c r="O25" i="1"/>
  <c r="P25" i="1"/>
  <c r="H26" i="1"/>
  <c r="I26" i="1"/>
  <c r="J26" i="1"/>
  <c r="K26" i="1"/>
  <c r="L26" i="1"/>
  <c r="M26" i="1"/>
  <c r="N26" i="1"/>
  <c r="O26" i="1"/>
  <c r="P26" i="1"/>
  <c r="H27" i="1"/>
  <c r="I27" i="1"/>
  <c r="J27" i="1"/>
  <c r="K27" i="1"/>
  <c r="L27" i="1"/>
  <c r="M27" i="1"/>
  <c r="N27" i="1"/>
  <c r="O27" i="1"/>
  <c r="P27" i="1"/>
  <c r="H28" i="1"/>
  <c r="I28" i="1"/>
  <c r="J28" i="1"/>
  <c r="K28" i="1"/>
  <c r="L28" i="1"/>
  <c r="M28" i="1"/>
  <c r="N28" i="1"/>
  <c r="O28" i="1"/>
  <c r="P28" i="1"/>
  <c r="H29" i="1"/>
  <c r="I29" i="1"/>
  <c r="J29" i="1"/>
  <c r="K29" i="1"/>
  <c r="L29" i="1"/>
  <c r="M29" i="1"/>
  <c r="N29" i="1"/>
  <c r="O29" i="1"/>
  <c r="P29" i="1"/>
  <c r="H30" i="1"/>
  <c r="I30" i="1"/>
  <c r="J30" i="1"/>
  <c r="K30" i="1"/>
  <c r="L30" i="1"/>
  <c r="M30" i="1"/>
  <c r="N30" i="1"/>
  <c r="O30" i="1"/>
  <c r="P30" i="1"/>
  <c r="H31" i="1"/>
  <c r="I31" i="1"/>
  <c r="J31" i="1"/>
  <c r="K31" i="1"/>
  <c r="L31" i="1"/>
  <c r="M31" i="1"/>
  <c r="N31" i="1"/>
  <c r="O31" i="1"/>
  <c r="P31" i="1"/>
  <c r="H32" i="1"/>
  <c r="I32" i="1"/>
  <c r="J32" i="1"/>
  <c r="K32" i="1"/>
  <c r="L32" i="1"/>
  <c r="M32" i="1"/>
  <c r="N32" i="1"/>
  <c r="O32" i="1"/>
  <c r="P32" i="1"/>
  <c r="H33" i="1"/>
  <c r="I33" i="1"/>
  <c r="J33" i="1"/>
  <c r="K33" i="1"/>
  <c r="L33" i="1"/>
  <c r="M33" i="1"/>
  <c r="N33" i="1"/>
  <c r="O33" i="1"/>
  <c r="P33" i="1"/>
  <c r="H34" i="1"/>
  <c r="I34" i="1"/>
  <c r="J34" i="1"/>
  <c r="K34" i="1"/>
  <c r="L34" i="1"/>
  <c r="M34" i="1"/>
  <c r="N34" i="1"/>
  <c r="O34" i="1"/>
  <c r="P34" i="1"/>
  <c r="H35" i="1"/>
  <c r="I35" i="1"/>
  <c r="J35" i="1"/>
  <c r="K35" i="1"/>
  <c r="L35" i="1"/>
  <c r="M35" i="1"/>
  <c r="N35" i="1"/>
  <c r="O35" i="1"/>
  <c r="P35" i="1"/>
  <c r="H36" i="1"/>
  <c r="I36" i="1"/>
  <c r="J36" i="1"/>
  <c r="K36" i="1"/>
  <c r="L36" i="1"/>
  <c r="M36" i="1"/>
  <c r="N36" i="1"/>
  <c r="O36" i="1"/>
  <c r="P36" i="1"/>
  <c r="H37" i="1"/>
  <c r="I37" i="1"/>
  <c r="J37" i="1"/>
  <c r="K37" i="1"/>
  <c r="L37" i="1"/>
  <c r="M37" i="1"/>
  <c r="N37" i="1"/>
  <c r="O37" i="1"/>
  <c r="P37" i="1"/>
  <c r="H38" i="1"/>
  <c r="I38" i="1"/>
  <c r="J38" i="1"/>
  <c r="K38" i="1"/>
  <c r="L38" i="1"/>
  <c r="M38" i="1"/>
  <c r="N38" i="1"/>
  <c r="O38" i="1"/>
  <c r="P38" i="1"/>
  <c r="H39" i="1"/>
  <c r="I39" i="1"/>
  <c r="J39" i="1"/>
  <c r="K39" i="1"/>
  <c r="L39" i="1"/>
  <c r="M39" i="1"/>
  <c r="N39" i="1"/>
  <c r="O39" i="1"/>
  <c r="P39" i="1"/>
  <c r="H40" i="1"/>
  <c r="I40" i="1"/>
  <c r="J40" i="1"/>
  <c r="K40" i="1"/>
  <c r="L40" i="1"/>
  <c r="M40" i="1"/>
  <c r="N40" i="1"/>
  <c r="O40" i="1"/>
  <c r="P40" i="1"/>
  <c r="H41" i="1"/>
  <c r="I41" i="1"/>
  <c r="J41" i="1"/>
  <c r="K41" i="1"/>
  <c r="L41" i="1"/>
  <c r="M41" i="1"/>
  <c r="N41" i="1"/>
  <c r="O41" i="1"/>
  <c r="P41" i="1"/>
  <c r="H42" i="1"/>
  <c r="I42" i="1"/>
  <c r="J42" i="1"/>
  <c r="K42" i="1"/>
  <c r="L42" i="1"/>
  <c r="M42" i="1"/>
  <c r="N42" i="1"/>
  <c r="O42" i="1"/>
  <c r="P42" i="1"/>
  <c r="H43" i="1"/>
  <c r="I43" i="1"/>
  <c r="J43" i="1"/>
  <c r="K43" i="1"/>
  <c r="L43" i="1"/>
  <c r="M43" i="1"/>
  <c r="N43" i="1"/>
  <c r="O43" i="1"/>
  <c r="P43" i="1"/>
  <c r="H44" i="1"/>
  <c r="I44" i="1"/>
  <c r="J44" i="1"/>
  <c r="K44" i="1"/>
  <c r="L44" i="1"/>
  <c r="M44" i="1"/>
  <c r="N44" i="1"/>
  <c r="O44" i="1"/>
  <c r="P44" i="1"/>
  <c r="H45" i="1"/>
  <c r="I45" i="1"/>
  <c r="J45" i="1"/>
  <c r="K45" i="1"/>
  <c r="L45" i="1"/>
  <c r="M45" i="1"/>
  <c r="N45" i="1"/>
  <c r="O45" i="1"/>
  <c r="P45" i="1"/>
  <c r="P4" i="1"/>
  <c r="O4" i="1"/>
  <c r="N4" i="1"/>
  <c r="M4" i="1"/>
  <c r="L4" i="1"/>
  <c r="K4" i="1"/>
  <c r="J4" i="1"/>
  <c r="H4" i="1"/>
  <c r="I4" i="1"/>
  <c r="R5" i="1"/>
  <c r="S5" i="1"/>
  <c r="T5" i="1"/>
  <c r="U5" i="1"/>
  <c r="V5" i="1"/>
  <c r="W5" i="1"/>
  <c r="X5" i="1"/>
  <c r="Y5" i="1"/>
  <c r="Z5" i="1"/>
  <c r="R6" i="1"/>
  <c r="S6" i="1"/>
  <c r="T6" i="1"/>
  <c r="U6" i="1"/>
  <c r="V6" i="1"/>
  <c r="W6" i="1"/>
  <c r="X6" i="1"/>
  <c r="Y6" i="1"/>
  <c r="Z6" i="1"/>
  <c r="R7" i="1"/>
  <c r="S7" i="1"/>
  <c r="T7" i="1"/>
  <c r="U7" i="1"/>
  <c r="V7" i="1"/>
  <c r="W7" i="1"/>
  <c r="X7" i="1"/>
  <c r="Y7" i="1"/>
  <c r="Z7" i="1"/>
  <c r="R8" i="1"/>
  <c r="S8" i="1"/>
  <c r="T8" i="1"/>
  <c r="U8" i="1"/>
  <c r="V8" i="1"/>
  <c r="W8" i="1"/>
  <c r="X8" i="1"/>
  <c r="Y8" i="1"/>
  <c r="Z8" i="1"/>
  <c r="R9" i="1"/>
  <c r="S9" i="1"/>
  <c r="T9" i="1"/>
  <c r="U9" i="1"/>
  <c r="V9" i="1"/>
  <c r="W9" i="1"/>
  <c r="X9" i="1"/>
  <c r="Y9" i="1"/>
  <c r="Z9" i="1"/>
  <c r="R10" i="1"/>
  <c r="S10" i="1"/>
  <c r="T10" i="1"/>
  <c r="U10" i="1"/>
  <c r="V10" i="1"/>
  <c r="W10" i="1"/>
  <c r="X10" i="1"/>
  <c r="Y10" i="1"/>
  <c r="Z10" i="1"/>
  <c r="R11" i="1"/>
  <c r="S11" i="1"/>
  <c r="T11" i="1"/>
  <c r="U11" i="1"/>
  <c r="V11" i="1"/>
  <c r="W11" i="1"/>
  <c r="X11" i="1"/>
  <c r="Y11" i="1"/>
  <c r="Z11" i="1"/>
  <c r="R12" i="1"/>
  <c r="S12" i="1"/>
  <c r="T12" i="1"/>
  <c r="U12" i="1"/>
  <c r="V12" i="1"/>
  <c r="W12" i="1"/>
  <c r="X12" i="1"/>
  <c r="Y12" i="1"/>
  <c r="Z12" i="1"/>
  <c r="R13" i="1"/>
  <c r="S13" i="1"/>
  <c r="T13" i="1"/>
  <c r="U13" i="1"/>
  <c r="V13" i="1"/>
  <c r="W13" i="1"/>
  <c r="X13" i="1"/>
  <c r="Y13" i="1"/>
  <c r="Z13" i="1"/>
  <c r="R14" i="1"/>
  <c r="S14" i="1"/>
  <c r="T14" i="1"/>
  <c r="U14" i="1"/>
  <c r="V14" i="1"/>
  <c r="W14" i="1"/>
  <c r="X14" i="1"/>
  <c r="Y14" i="1"/>
  <c r="Z14" i="1"/>
  <c r="R15" i="1"/>
  <c r="S15" i="1"/>
  <c r="T15" i="1"/>
  <c r="U15" i="1"/>
  <c r="V15" i="1"/>
  <c r="W15" i="1"/>
  <c r="X15" i="1"/>
  <c r="Y15" i="1"/>
  <c r="Z15" i="1"/>
  <c r="R16" i="1"/>
  <c r="S16" i="1"/>
  <c r="T16" i="1"/>
  <c r="U16" i="1"/>
  <c r="V16" i="1"/>
  <c r="W16" i="1"/>
  <c r="X16" i="1"/>
  <c r="Y16" i="1"/>
  <c r="Z16" i="1"/>
  <c r="R17" i="1"/>
  <c r="S17" i="1"/>
  <c r="T17" i="1"/>
  <c r="U17" i="1"/>
  <c r="V17" i="1"/>
  <c r="W17" i="1"/>
  <c r="X17" i="1"/>
  <c r="Y17" i="1"/>
  <c r="Z17" i="1"/>
  <c r="R18" i="1"/>
  <c r="S18" i="1"/>
  <c r="T18" i="1"/>
  <c r="U18" i="1"/>
  <c r="V18" i="1"/>
  <c r="W18" i="1"/>
  <c r="X18" i="1"/>
  <c r="Y18" i="1"/>
  <c r="Z18" i="1"/>
  <c r="R19" i="1"/>
  <c r="S19" i="1"/>
  <c r="T19" i="1"/>
  <c r="U19" i="1"/>
  <c r="V19" i="1"/>
  <c r="W19" i="1"/>
  <c r="X19" i="1"/>
  <c r="Y19" i="1"/>
  <c r="Z19" i="1"/>
  <c r="R20" i="1"/>
  <c r="S20" i="1"/>
  <c r="T20" i="1"/>
  <c r="U20" i="1"/>
  <c r="V20" i="1"/>
  <c r="W20" i="1"/>
  <c r="X20" i="1"/>
  <c r="Y20" i="1"/>
  <c r="Z20" i="1"/>
  <c r="R21" i="1"/>
  <c r="S21" i="1"/>
  <c r="T21" i="1"/>
  <c r="U21" i="1"/>
  <c r="V21" i="1"/>
  <c r="W21" i="1"/>
  <c r="X21" i="1"/>
  <c r="Y21" i="1"/>
  <c r="Z21" i="1"/>
  <c r="R22" i="1"/>
  <c r="S22" i="1"/>
  <c r="T22" i="1"/>
  <c r="U22" i="1"/>
  <c r="V22" i="1"/>
  <c r="W22" i="1"/>
  <c r="X22" i="1"/>
  <c r="Y22" i="1"/>
  <c r="Z22" i="1"/>
  <c r="R23" i="1"/>
  <c r="S23" i="1"/>
  <c r="T23" i="1"/>
  <c r="U23" i="1"/>
  <c r="V23" i="1"/>
  <c r="W23" i="1"/>
  <c r="X23" i="1"/>
  <c r="Y23" i="1"/>
  <c r="Z23" i="1"/>
  <c r="R24" i="1"/>
  <c r="S24" i="1"/>
  <c r="T24" i="1"/>
  <c r="U24" i="1"/>
  <c r="V24" i="1"/>
  <c r="W24" i="1"/>
  <c r="X24" i="1"/>
  <c r="Y24" i="1"/>
  <c r="Z24" i="1"/>
  <c r="R25" i="1"/>
  <c r="S25" i="1"/>
  <c r="T25" i="1"/>
  <c r="U25" i="1"/>
  <c r="V25" i="1"/>
  <c r="W25" i="1"/>
  <c r="X25" i="1"/>
  <c r="Y25" i="1"/>
  <c r="Z25" i="1"/>
  <c r="R26" i="1"/>
  <c r="S26" i="1"/>
  <c r="T26" i="1"/>
  <c r="U26" i="1"/>
  <c r="V26" i="1"/>
  <c r="W26" i="1"/>
  <c r="X26" i="1"/>
  <c r="Y26" i="1"/>
  <c r="Z26" i="1"/>
  <c r="R27" i="1"/>
  <c r="S27" i="1"/>
  <c r="T27" i="1"/>
  <c r="U27" i="1"/>
  <c r="V27" i="1"/>
  <c r="W27" i="1"/>
  <c r="X27" i="1"/>
  <c r="Y27" i="1"/>
  <c r="Z27" i="1"/>
  <c r="R28" i="1"/>
  <c r="S28" i="1"/>
  <c r="T28" i="1"/>
  <c r="U28" i="1"/>
  <c r="V28" i="1"/>
  <c r="W28" i="1"/>
  <c r="X28" i="1"/>
  <c r="Y28" i="1"/>
  <c r="Z28" i="1"/>
  <c r="R29" i="1"/>
  <c r="S29" i="1"/>
  <c r="T29" i="1"/>
  <c r="U29" i="1"/>
  <c r="V29" i="1"/>
  <c r="W29" i="1"/>
  <c r="X29" i="1"/>
  <c r="Y29" i="1"/>
  <c r="Z29" i="1"/>
  <c r="R30" i="1"/>
  <c r="S30" i="1"/>
  <c r="T30" i="1"/>
  <c r="U30" i="1"/>
  <c r="V30" i="1"/>
  <c r="W30" i="1"/>
  <c r="X30" i="1"/>
  <c r="Y30" i="1"/>
  <c r="Z30" i="1"/>
  <c r="R31" i="1"/>
  <c r="S31" i="1"/>
  <c r="T31" i="1"/>
  <c r="U31" i="1"/>
  <c r="V31" i="1"/>
  <c r="W31" i="1"/>
  <c r="X31" i="1"/>
  <c r="Y31" i="1"/>
  <c r="Z31" i="1"/>
  <c r="R32" i="1"/>
  <c r="S32" i="1"/>
  <c r="T32" i="1"/>
  <c r="U32" i="1"/>
  <c r="V32" i="1"/>
  <c r="W32" i="1"/>
  <c r="X32" i="1"/>
  <c r="Y32" i="1"/>
  <c r="Z32" i="1"/>
  <c r="R33" i="1"/>
  <c r="S33" i="1"/>
  <c r="T33" i="1"/>
  <c r="U33" i="1"/>
  <c r="V33" i="1"/>
  <c r="W33" i="1"/>
  <c r="X33" i="1"/>
  <c r="Y33" i="1"/>
  <c r="Z33" i="1"/>
  <c r="R34" i="1"/>
  <c r="S34" i="1"/>
  <c r="T34" i="1"/>
  <c r="U34" i="1"/>
  <c r="V34" i="1"/>
  <c r="W34" i="1"/>
  <c r="X34" i="1"/>
  <c r="Y34" i="1"/>
  <c r="Z34" i="1"/>
  <c r="R35" i="1"/>
  <c r="S35" i="1"/>
  <c r="T35" i="1"/>
  <c r="U35" i="1"/>
  <c r="V35" i="1"/>
  <c r="W35" i="1"/>
  <c r="X35" i="1"/>
  <c r="Y35" i="1"/>
  <c r="Z35" i="1"/>
  <c r="R36" i="1"/>
  <c r="S36" i="1"/>
  <c r="T36" i="1"/>
  <c r="U36" i="1"/>
  <c r="V36" i="1"/>
  <c r="W36" i="1"/>
  <c r="X36" i="1"/>
  <c r="Y36" i="1"/>
  <c r="Z36" i="1"/>
  <c r="R37" i="1"/>
  <c r="S37" i="1"/>
  <c r="T37" i="1"/>
  <c r="U37" i="1"/>
  <c r="V37" i="1"/>
  <c r="W37" i="1"/>
  <c r="X37" i="1"/>
  <c r="Y37" i="1"/>
  <c r="Z37" i="1"/>
  <c r="R38" i="1"/>
  <c r="S38" i="1"/>
  <c r="T38" i="1"/>
  <c r="U38" i="1"/>
  <c r="V38" i="1"/>
  <c r="W38" i="1"/>
  <c r="X38" i="1"/>
  <c r="Y38" i="1"/>
  <c r="Z38" i="1"/>
  <c r="R39" i="1"/>
  <c r="S39" i="1"/>
  <c r="T39" i="1"/>
  <c r="U39" i="1"/>
  <c r="V39" i="1"/>
  <c r="W39" i="1"/>
  <c r="X39" i="1"/>
  <c r="Y39" i="1"/>
  <c r="Z39" i="1"/>
  <c r="R40" i="1"/>
  <c r="S40" i="1"/>
  <c r="T40" i="1"/>
  <c r="U40" i="1"/>
  <c r="V40" i="1"/>
  <c r="W40" i="1"/>
  <c r="X40" i="1"/>
  <c r="Y40" i="1"/>
  <c r="Z40" i="1"/>
  <c r="R41" i="1"/>
  <c r="S41" i="1"/>
  <c r="T41" i="1"/>
  <c r="U41" i="1"/>
  <c r="V41" i="1"/>
  <c r="W41" i="1"/>
  <c r="X41" i="1"/>
  <c r="Y41" i="1"/>
  <c r="Z41" i="1"/>
  <c r="R42" i="1"/>
  <c r="S42" i="1"/>
  <c r="T42" i="1"/>
  <c r="U42" i="1"/>
  <c r="V42" i="1"/>
  <c r="W42" i="1"/>
  <c r="X42" i="1"/>
  <c r="Y42" i="1"/>
  <c r="Z42" i="1"/>
  <c r="R43" i="1"/>
  <c r="S43" i="1"/>
  <c r="T43" i="1"/>
  <c r="U43" i="1"/>
  <c r="V43" i="1"/>
  <c r="W43" i="1"/>
  <c r="X43" i="1"/>
  <c r="Y43" i="1"/>
  <c r="Z43" i="1"/>
  <c r="R44" i="1"/>
  <c r="S44" i="1"/>
  <c r="T44" i="1"/>
  <c r="U44" i="1"/>
  <c r="V44" i="1"/>
  <c r="W44" i="1"/>
  <c r="X44" i="1"/>
  <c r="Y44" i="1"/>
  <c r="Z44" i="1"/>
  <c r="R45" i="1"/>
  <c r="S45" i="1"/>
  <c r="T45" i="1"/>
  <c r="U45" i="1"/>
  <c r="V45" i="1"/>
  <c r="W45" i="1"/>
  <c r="X45" i="1"/>
  <c r="Y45" i="1"/>
  <c r="Z45" i="1"/>
  <c r="Z4" i="1"/>
  <c r="Y4" i="1"/>
  <c r="X4" i="1"/>
  <c r="W4" i="1"/>
  <c r="V4" i="1"/>
  <c r="U4" i="1"/>
  <c r="T4" i="1"/>
  <c r="S4" i="1"/>
  <c r="R4" i="1"/>
  <c r="AB5" i="1"/>
  <c r="AC5" i="1"/>
  <c r="AD5" i="1"/>
  <c r="AE5" i="1"/>
  <c r="AF5" i="1"/>
  <c r="AG5" i="1"/>
  <c r="AH5" i="1"/>
  <c r="AI5" i="1"/>
  <c r="AJ5" i="1"/>
  <c r="AB6" i="1"/>
  <c r="AC6" i="1"/>
  <c r="AD6" i="1"/>
  <c r="AE6" i="1"/>
  <c r="AF6" i="1"/>
  <c r="AG6" i="1"/>
  <c r="AH6" i="1"/>
  <c r="AI6" i="1"/>
  <c r="AJ6" i="1"/>
  <c r="AB7" i="1"/>
  <c r="AC7" i="1"/>
  <c r="AD7" i="1"/>
  <c r="AE7" i="1"/>
  <c r="AF7" i="1"/>
  <c r="AG7" i="1"/>
  <c r="AH7" i="1"/>
  <c r="AI7" i="1"/>
  <c r="AJ7" i="1"/>
  <c r="AB8" i="1"/>
  <c r="AC8" i="1"/>
  <c r="AD8" i="1"/>
  <c r="AE8" i="1"/>
  <c r="AF8" i="1"/>
  <c r="AG8" i="1"/>
  <c r="AH8" i="1"/>
  <c r="AI8" i="1"/>
  <c r="AJ8" i="1"/>
  <c r="AB9" i="1"/>
  <c r="AC9" i="1"/>
  <c r="AD9" i="1"/>
  <c r="AE9" i="1"/>
  <c r="AF9" i="1"/>
  <c r="AG9" i="1"/>
  <c r="AH9" i="1"/>
  <c r="AI9" i="1"/>
  <c r="AJ9" i="1"/>
  <c r="AB10" i="1"/>
  <c r="AC10" i="1"/>
  <c r="AD10" i="1"/>
  <c r="AE10" i="1"/>
  <c r="AF10" i="1"/>
  <c r="AG10" i="1"/>
  <c r="AH10" i="1"/>
  <c r="AI10" i="1"/>
  <c r="AJ10" i="1"/>
  <c r="AB11" i="1"/>
  <c r="AC11" i="1"/>
  <c r="AD11" i="1"/>
  <c r="AE11" i="1"/>
  <c r="AF11" i="1"/>
  <c r="AG11" i="1"/>
  <c r="AH11" i="1"/>
  <c r="AI11" i="1"/>
  <c r="AJ11" i="1"/>
  <c r="AB12" i="1"/>
  <c r="AC12" i="1"/>
  <c r="AD12" i="1"/>
  <c r="AE12" i="1"/>
  <c r="AF12" i="1"/>
  <c r="AG12" i="1"/>
  <c r="AH12" i="1"/>
  <c r="AI12" i="1"/>
  <c r="AJ12" i="1"/>
  <c r="AB13" i="1"/>
  <c r="AC13" i="1"/>
  <c r="AD13" i="1"/>
  <c r="AE13" i="1"/>
  <c r="AF13" i="1"/>
  <c r="AG13" i="1"/>
  <c r="AH13" i="1"/>
  <c r="AI13" i="1"/>
  <c r="AJ13" i="1"/>
  <c r="AB14" i="1"/>
  <c r="AC14" i="1"/>
  <c r="AD14" i="1"/>
  <c r="AE14" i="1"/>
  <c r="AF14" i="1"/>
  <c r="AG14" i="1"/>
  <c r="AH14" i="1"/>
  <c r="AI14" i="1"/>
  <c r="AJ14" i="1"/>
  <c r="AB15" i="1"/>
  <c r="AC15" i="1"/>
  <c r="AD15" i="1"/>
  <c r="AE15" i="1"/>
  <c r="AF15" i="1"/>
  <c r="AG15" i="1"/>
  <c r="AH15" i="1"/>
  <c r="AI15" i="1"/>
  <c r="AJ15" i="1"/>
  <c r="AB16" i="1"/>
  <c r="AC16" i="1"/>
  <c r="AD16" i="1"/>
  <c r="AE16" i="1"/>
  <c r="AF16" i="1"/>
  <c r="AG16" i="1"/>
  <c r="AH16" i="1"/>
  <c r="AI16" i="1"/>
  <c r="AJ16" i="1"/>
  <c r="AB17" i="1"/>
  <c r="AC17" i="1"/>
  <c r="AD17" i="1"/>
  <c r="AE17" i="1"/>
  <c r="AF17" i="1"/>
  <c r="AG17" i="1"/>
  <c r="AH17" i="1"/>
  <c r="AI17" i="1"/>
  <c r="AJ17" i="1"/>
  <c r="AB18" i="1"/>
  <c r="AC18" i="1"/>
  <c r="AD18" i="1"/>
  <c r="AE18" i="1"/>
  <c r="AF18" i="1"/>
  <c r="AG18" i="1"/>
  <c r="AH18" i="1"/>
  <c r="AI18" i="1"/>
  <c r="AJ18" i="1"/>
  <c r="AB19" i="1"/>
  <c r="AC19" i="1"/>
  <c r="AD19" i="1"/>
  <c r="AE19" i="1"/>
  <c r="AF19" i="1"/>
  <c r="AG19" i="1"/>
  <c r="AH19" i="1"/>
  <c r="AI19" i="1"/>
  <c r="AJ19" i="1"/>
  <c r="AB20" i="1"/>
  <c r="AC20" i="1"/>
  <c r="AD20" i="1"/>
  <c r="AE20" i="1"/>
  <c r="AF20" i="1"/>
  <c r="AG20" i="1"/>
  <c r="AH20" i="1"/>
  <c r="AI20" i="1"/>
  <c r="AJ20" i="1"/>
  <c r="AB21" i="1"/>
  <c r="AC21" i="1"/>
  <c r="AD21" i="1"/>
  <c r="AE21" i="1"/>
  <c r="AF21" i="1"/>
  <c r="AG21" i="1"/>
  <c r="AH21" i="1"/>
  <c r="AI21" i="1"/>
  <c r="AJ21" i="1"/>
  <c r="AB22" i="1"/>
  <c r="AC22" i="1"/>
  <c r="AD22" i="1"/>
  <c r="AE22" i="1"/>
  <c r="AF22" i="1"/>
  <c r="AG22" i="1"/>
  <c r="AH22" i="1"/>
  <c r="AI22" i="1"/>
  <c r="AJ22" i="1"/>
  <c r="AB23" i="1"/>
  <c r="AC23" i="1"/>
  <c r="AD23" i="1"/>
  <c r="AE23" i="1"/>
  <c r="AF23" i="1"/>
  <c r="AG23" i="1"/>
  <c r="AH23" i="1"/>
  <c r="AI23" i="1"/>
  <c r="AJ23" i="1"/>
  <c r="AB24" i="1"/>
  <c r="AC24" i="1"/>
  <c r="AD24" i="1"/>
  <c r="AE24" i="1"/>
  <c r="AF24" i="1"/>
  <c r="AG24" i="1"/>
  <c r="AH24" i="1"/>
  <c r="AI24" i="1"/>
  <c r="AJ24" i="1"/>
  <c r="AB25" i="1"/>
  <c r="AC25" i="1"/>
  <c r="AD25" i="1"/>
  <c r="AE25" i="1"/>
  <c r="AF25" i="1"/>
  <c r="AG25" i="1"/>
  <c r="AH25" i="1"/>
  <c r="AI25" i="1"/>
  <c r="AJ25" i="1"/>
  <c r="AB26" i="1"/>
  <c r="AC26" i="1"/>
  <c r="AD26" i="1"/>
  <c r="AE26" i="1"/>
  <c r="AF26" i="1"/>
  <c r="AG26" i="1"/>
  <c r="AH26" i="1"/>
  <c r="AI26" i="1"/>
  <c r="AJ26" i="1"/>
  <c r="AB27" i="1"/>
  <c r="AC27" i="1"/>
  <c r="AD27" i="1"/>
  <c r="AE27" i="1"/>
  <c r="AF27" i="1"/>
  <c r="AG27" i="1"/>
  <c r="AH27" i="1"/>
  <c r="AI27" i="1"/>
  <c r="AJ27" i="1"/>
  <c r="AB28" i="1"/>
  <c r="AC28" i="1"/>
  <c r="AD28" i="1"/>
  <c r="AE28" i="1"/>
  <c r="AF28" i="1"/>
  <c r="AG28" i="1"/>
  <c r="AH28" i="1"/>
  <c r="AI28" i="1"/>
  <c r="AJ28" i="1"/>
  <c r="AB29" i="1"/>
  <c r="AC29" i="1"/>
  <c r="AD29" i="1"/>
  <c r="AE29" i="1"/>
  <c r="AF29" i="1"/>
  <c r="AG29" i="1"/>
  <c r="AH29" i="1"/>
  <c r="AI29" i="1"/>
  <c r="AJ29" i="1"/>
  <c r="AB30" i="1"/>
  <c r="AC30" i="1"/>
  <c r="AD30" i="1"/>
  <c r="AE30" i="1"/>
  <c r="AF30" i="1"/>
  <c r="AG30" i="1"/>
  <c r="AH30" i="1"/>
  <c r="AI30" i="1"/>
  <c r="AJ30" i="1"/>
  <c r="AB31" i="1"/>
  <c r="AC31" i="1"/>
  <c r="AD31" i="1"/>
  <c r="AE31" i="1"/>
  <c r="AF31" i="1"/>
  <c r="AG31" i="1"/>
  <c r="AH31" i="1"/>
  <c r="AI31" i="1"/>
  <c r="AJ31" i="1"/>
  <c r="AB32" i="1"/>
  <c r="AC32" i="1"/>
  <c r="AD32" i="1"/>
  <c r="AE32" i="1"/>
  <c r="AF32" i="1"/>
  <c r="AG32" i="1"/>
  <c r="AH32" i="1"/>
  <c r="AI32" i="1"/>
  <c r="AJ32" i="1"/>
  <c r="AB33" i="1"/>
  <c r="AC33" i="1"/>
  <c r="AD33" i="1"/>
  <c r="AE33" i="1"/>
  <c r="AF33" i="1"/>
  <c r="AG33" i="1"/>
  <c r="AH33" i="1"/>
  <c r="AI33" i="1"/>
  <c r="AJ33" i="1"/>
  <c r="AB34" i="1"/>
  <c r="AC34" i="1"/>
  <c r="AD34" i="1"/>
  <c r="AE34" i="1"/>
  <c r="AF34" i="1"/>
  <c r="AG34" i="1"/>
  <c r="AH34" i="1"/>
  <c r="AI34" i="1"/>
  <c r="AJ34" i="1"/>
  <c r="AB35" i="1"/>
  <c r="AC35" i="1"/>
  <c r="AD35" i="1"/>
  <c r="AE35" i="1"/>
  <c r="AF35" i="1"/>
  <c r="AG35" i="1"/>
  <c r="AH35" i="1"/>
  <c r="AI35" i="1"/>
  <c r="AJ35" i="1"/>
  <c r="AB36" i="1"/>
  <c r="AC36" i="1"/>
  <c r="AD36" i="1"/>
  <c r="AE36" i="1"/>
  <c r="AF36" i="1"/>
  <c r="AG36" i="1"/>
  <c r="AH36" i="1"/>
  <c r="AI36" i="1"/>
  <c r="AJ36" i="1"/>
  <c r="AB37" i="1"/>
  <c r="AC37" i="1"/>
  <c r="AD37" i="1"/>
  <c r="AE37" i="1"/>
  <c r="AF37" i="1"/>
  <c r="AG37" i="1"/>
  <c r="AH37" i="1"/>
  <c r="AI37" i="1"/>
  <c r="AJ37" i="1"/>
  <c r="AB38" i="1"/>
  <c r="AC38" i="1"/>
  <c r="AD38" i="1"/>
  <c r="AE38" i="1"/>
  <c r="AF38" i="1"/>
  <c r="AG38" i="1"/>
  <c r="AH38" i="1"/>
  <c r="AI38" i="1"/>
  <c r="AJ38" i="1"/>
  <c r="AB39" i="1"/>
  <c r="AC39" i="1"/>
  <c r="AD39" i="1"/>
  <c r="AE39" i="1"/>
  <c r="AF39" i="1"/>
  <c r="AG39" i="1"/>
  <c r="AH39" i="1"/>
  <c r="AI39" i="1"/>
  <c r="AJ39" i="1"/>
  <c r="AB40" i="1"/>
  <c r="AC40" i="1"/>
  <c r="AD40" i="1"/>
  <c r="AE40" i="1"/>
  <c r="AF40" i="1"/>
  <c r="AG40" i="1"/>
  <c r="AH40" i="1"/>
  <c r="AI40" i="1"/>
  <c r="AJ40" i="1"/>
  <c r="AB41" i="1"/>
  <c r="AC41" i="1"/>
  <c r="AD41" i="1"/>
  <c r="AE41" i="1"/>
  <c r="AF41" i="1"/>
  <c r="AG41" i="1"/>
  <c r="AH41" i="1"/>
  <c r="AI41" i="1"/>
  <c r="AJ41" i="1"/>
  <c r="AB42" i="1"/>
  <c r="AC42" i="1"/>
  <c r="AD42" i="1"/>
  <c r="AE42" i="1"/>
  <c r="AF42" i="1"/>
  <c r="AG42" i="1"/>
  <c r="AH42" i="1"/>
  <c r="AI42" i="1"/>
  <c r="AJ42" i="1"/>
  <c r="AB43" i="1"/>
  <c r="AC43" i="1"/>
  <c r="AD43" i="1"/>
  <c r="AE43" i="1"/>
  <c r="AF43" i="1"/>
  <c r="AG43" i="1"/>
  <c r="AH43" i="1"/>
  <c r="AI43" i="1"/>
  <c r="AJ43" i="1"/>
  <c r="AB44" i="1"/>
  <c r="AC44" i="1"/>
  <c r="AD44" i="1"/>
  <c r="AE44" i="1"/>
  <c r="AF44" i="1"/>
  <c r="AG44" i="1"/>
  <c r="AH44" i="1"/>
  <c r="AI44" i="1"/>
  <c r="AJ44" i="1"/>
  <c r="AB45" i="1"/>
  <c r="AC45" i="1"/>
  <c r="AD45" i="1"/>
  <c r="AE45" i="1"/>
  <c r="AF45" i="1"/>
  <c r="AG45" i="1"/>
  <c r="AH45" i="1"/>
  <c r="AI45" i="1"/>
  <c r="AJ45" i="1"/>
  <c r="AE4" i="1"/>
  <c r="AD4" i="1"/>
  <c r="AC4" i="1"/>
  <c r="AB4" i="1"/>
  <c r="AF4" i="1"/>
  <c r="AG4" i="1"/>
  <c r="AJ4" i="1"/>
  <c r="AI4" i="1"/>
  <c r="AH4" i="1"/>
  <c r="A66" i="3" a="1"/>
  <c r="A6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<sst xmlns="http://schemas.openxmlformats.org/spreadsheetml/2006/main" count="947" uniqueCount="97">
  <si>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</si>
  <si>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</si>
  <si>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</si>
  <si>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</si>
  <si>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</si>
  <si>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</si>
  <si>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</si>
  <si>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</si>
  <si>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</si>
  <si>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</si>
  <si>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</si>
  <si>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</si>
  <si>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Projects</t>
  </si>
  <si>
    <t>run1</t>
  </si>
  <si>
    <t>SMALL_WORLD_SIMILAR</t>
  </si>
  <si>
    <t>normal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</si>
  <si>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</si>
  <si>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</si>
  <si>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</si>
  <si>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</si>
  <si>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</si>
  <si>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</si>
  <si>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</si>
  <si>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</si>
  <si>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</si>
  <si>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</si>
  <si>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</si>
  <si>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</si>
  <si>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</si>
  <si>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</si>
  <si>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</si>
  <si>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</si>
  <si>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</si>
  <si>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</si>
  <si>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</si>
  <si>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</si>
  <si>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</si>
  <si>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</si>
  <si>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</si>
  <si>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</si>
  <si>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</si>
  <si>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</si>
  <si>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</si>
  <si>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</si>
  <si>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</si>
  <si>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</si>
  <si>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</si>
  <si>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</si>
  <si>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</si>
  <si>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</si>
  <si>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</si>
  <si>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</si>
  <si>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</si>
  <si>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</si>
  <si>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</si>
  <si>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</si>
  <si>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</si>
  <si>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</si>
  <si>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</si>
  <si>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</si>
  <si>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</si>
  <si>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</si>
  <si>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</si>
  <si>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</si>
  <si>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</si>
  <si>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</si>
  <si>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</si>
  <si>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</si>
  <si>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</si>
  <si>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hybrid</t>
  </si>
  <si>
    <t>willingness to initiate</t>
  </si>
  <si>
    <t>willingness to invest</t>
  </si>
  <si>
    <t>prof capacity</t>
  </si>
  <si>
    <t>indv learning rate</t>
  </si>
  <si>
    <t>col learning rate</t>
  </si>
  <si>
    <t>network type</t>
  </si>
  <si>
    <t>policy indv learning</t>
  </si>
  <si>
    <t>policy col learning</t>
  </si>
  <si>
    <t>policy indv learning rate</t>
  </si>
  <si>
    <t>policy col learning rate</t>
  </si>
  <si>
    <t>max projects per 5 years</t>
  </si>
  <si>
    <t>project size multiplier</t>
  </si>
  <si>
    <t>scenario</t>
  </si>
  <si>
    <t>scenNb</t>
  </si>
  <si>
    <t>base</t>
  </si>
  <si>
    <t>very high contagion</t>
  </si>
  <si>
    <t>very high ind lr and high col lr</t>
  </si>
  <si>
    <t>very high clr</t>
  </si>
  <si>
    <t>verhy high clr and high ilr</t>
  </si>
  <si>
    <t>very high both lrs</t>
  </si>
  <si>
    <t>verhy high lrs and high max projects</t>
  </si>
  <si>
    <t>verhy high lrs and high max projects and hybrid</t>
  </si>
  <si>
    <t>base_network update</t>
  </si>
  <si>
    <t>scenName</t>
  </si>
  <si>
    <t>Ecs</t>
  </si>
  <si>
    <t>Members</t>
  </si>
  <si>
    <t>Installed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</si>
</sst>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assumptions!$H$3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assumptions!$H$4:$H$45</c15:sqref>
                  </c15:fullRef>
                </c:ext>
              </c:extLst>
              <c:f>assumptions!$H$15:$H$45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1573.4</c:v>
                </c:pt>
                <c:pt idx="6">
                  <c:v>1693.6</c:v>
                </c:pt>
                <c:pt idx="7">
                  <c:v>1807.6</c:v>
                </c:pt>
                <c:pt idx="8">
                  <c:v>2021.8</c:v>
                </c:pt>
                <c:pt idx="9">
                  <c:v>2353.4</c:v>
                </c:pt>
                <c:pt idx="10">
                  <c:v>2629.6</c:v>
                </c:pt>
                <c:pt idx="11">
                  <c:v>2856.8</c:v>
                </c:pt>
                <c:pt idx="12">
                  <c:v>3081</c:v>
                </c:pt>
                <c:pt idx="13">
                  <c:v>3251.6</c:v>
                </c:pt>
                <c:pt idx="14">
                  <c:v>3487.6</c:v>
                </c:pt>
                <c:pt idx="15">
                  <c:v>3836.6</c:v>
                </c:pt>
                <c:pt idx="16">
                  <c:v>4168.2</c:v>
                </c:pt>
                <c:pt idx="17">
                  <c:v>4451.6000000000004</c:v>
                </c:pt>
                <c:pt idx="18">
                  <c:v>4759.3999999999996</c:v>
                </c:pt>
                <c:pt idx="19">
                  <c:v>5013.3999999999996</c:v>
                </c:pt>
                <c:pt idx="20">
                  <c:v>5316.6</c:v>
                </c:pt>
                <c:pt idx="21">
                  <c:v>5736.2</c:v>
                </c:pt>
                <c:pt idx="22">
                  <c:v>6163.6</c:v>
                </c:pt>
                <c:pt idx="23">
                  <c:v>6559.2</c:v>
                </c:pt>
                <c:pt idx="24">
                  <c:v>6961.8</c:v>
                </c:pt>
                <c:pt idx="25">
                  <c:v>7312.6</c:v>
                </c:pt>
                <c:pt idx="26">
                  <c:v>7700.6</c:v>
                </c:pt>
                <c:pt idx="27">
                  <c:v>8194.7999999999993</c:v>
                </c:pt>
                <c:pt idx="28">
                  <c:v>8706</c:v>
                </c:pt>
                <c:pt idx="29">
                  <c:v>9173.7999999999993</c:v>
                </c:pt>
                <c:pt idx="30">
                  <c:v>9640.7999999999993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5-498C-AD28-695D5869F1F0}"/>
            </c:ext>
          </c:extLst>
        </c:ser>
        <c:ser>
          <c:idx val="1"/>
          <c:order val="1"/>
          <c:tx>
            <c:strRef>
              <c:f>assumptions!$I$3</c:f>
              <c:strCache>
                <c:ptCount val="1"/>
                <c:pt idx="0">
                  <c:v>very 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assumptions!$I$4:$I$45</c15:sqref>
                  </c15:fullRef>
                </c:ext>
              </c:extLst>
              <c:f>assumptions!$I$15:$I$45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1573.4</c:v>
                </c:pt>
                <c:pt idx="6">
                  <c:v>1961</c:v>
                </c:pt>
                <c:pt idx="7">
                  <c:v>2304.8000000000002</c:v>
                </c:pt>
                <c:pt idx="8">
                  <c:v>2658.6</c:v>
                </c:pt>
                <c:pt idx="9">
                  <c:v>3073.8</c:v>
                </c:pt>
                <c:pt idx="10">
                  <c:v>3386.4</c:v>
                </c:pt>
                <c:pt idx="11">
                  <c:v>3592.6</c:v>
                </c:pt>
                <c:pt idx="12">
                  <c:v>4083</c:v>
                </c:pt>
                <c:pt idx="13">
                  <c:v>4665.2</c:v>
                </c:pt>
                <c:pt idx="14">
                  <c:v>5230</c:v>
                </c:pt>
                <c:pt idx="15">
                  <c:v>5857</c:v>
                </c:pt>
                <c:pt idx="16">
                  <c:v>6398.2</c:v>
                </c:pt>
                <c:pt idx="17">
                  <c:v>6753.2</c:v>
                </c:pt>
                <c:pt idx="18">
                  <c:v>7356.6</c:v>
                </c:pt>
                <c:pt idx="19">
                  <c:v>8122.2</c:v>
                </c:pt>
                <c:pt idx="20">
                  <c:v>8881.7999999999993</c:v>
                </c:pt>
                <c:pt idx="21">
                  <c:v>9679.2000000000007</c:v>
                </c:pt>
                <c:pt idx="22">
                  <c:v>10392.799999999999</c:v>
                </c:pt>
                <c:pt idx="23">
                  <c:v>10882.8</c:v>
                </c:pt>
                <c:pt idx="24">
                  <c:v>11524.8</c:v>
                </c:pt>
                <c:pt idx="25">
                  <c:v>12348.8</c:v>
                </c:pt>
                <c:pt idx="26">
                  <c:v>13146.4</c:v>
                </c:pt>
                <c:pt idx="27">
                  <c:v>13966</c:v>
                </c:pt>
                <c:pt idx="28">
                  <c:v>14710.8</c:v>
                </c:pt>
                <c:pt idx="29">
                  <c:v>15221</c:v>
                </c:pt>
                <c:pt idx="30">
                  <c:v>15832.4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F5-498C-AD28-695D5869F1F0}"/>
            </c:ext>
          </c:extLst>
        </c:ser>
        <c:ser>
          <c:idx val="3"/>
          <c:order val="3"/>
          <c:tx>
            <c:strRef>
              <c:f>assumptions!$K$3</c:f>
              <c:strCache>
                <c:ptCount val="1"/>
                <c:pt idx="0">
                  <c:v>very high clr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assumptions!$K$4:$K$45</c15:sqref>
                  </c15:fullRef>
                </c:ext>
              </c:extLst>
              <c:f>assumptions!$K$15:$K$45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1579.6</c:v>
                </c:pt>
                <c:pt idx="6">
                  <c:v>1758.4</c:v>
                </c:pt>
                <c:pt idx="7">
                  <c:v>2117.6</c:v>
                </c:pt>
                <c:pt idx="8">
                  <c:v>2678.6</c:v>
                </c:pt>
                <c:pt idx="9">
                  <c:v>3425</c:v>
                </c:pt>
                <c:pt idx="10">
                  <c:v>4205.6000000000004</c:v>
                </c:pt>
                <c:pt idx="11">
                  <c:v>4955.3999999999996</c:v>
                </c:pt>
                <c:pt idx="12">
                  <c:v>5612.8</c:v>
                </c:pt>
                <c:pt idx="13">
                  <c:v>6294.8</c:v>
                </c:pt>
                <c:pt idx="14">
                  <c:v>7129.8</c:v>
                </c:pt>
                <c:pt idx="15">
                  <c:v>8147.2</c:v>
                </c:pt>
                <c:pt idx="16">
                  <c:v>9202.6</c:v>
                </c:pt>
                <c:pt idx="17">
                  <c:v>10184.200000000001</c:v>
                </c:pt>
                <c:pt idx="18">
                  <c:v>11015.4</c:v>
                </c:pt>
                <c:pt idx="19">
                  <c:v>11798.8</c:v>
                </c:pt>
                <c:pt idx="20">
                  <c:v>12684</c:v>
                </c:pt>
                <c:pt idx="21">
                  <c:v>13729.4</c:v>
                </c:pt>
                <c:pt idx="22">
                  <c:v>14813.2</c:v>
                </c:pt>
                <c:pt idx="23">
                  <c:v>15807.4</c:v>
                </c:pt>
                <c:pt idx="24">
                  <c:v>16633.599999999999</c:v>
                </c:pt>
                <c:pt idx="25">
                  <c:v>17392.400000000001</c:v>
                </c:pt>
                <c:pt idx="26">
                  <c:v>18222</c:v>
                </c:pt>
                <c:pt idx="27">
                  <c:v>19160.8</c:v>
                </c:pt>
                <c:pt idx="28">
                  <c:v>20114</c:v>
                </c:pt>
                <c:pt idx="29">
                  <c:v>20954.400000000001</c:v>
                </c:pt>
                <c:pt idx="30">
                  <c:v>21596.799999999999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F5-498C-AD28-695D5869F1F0}"/>
            </c:ext>
          </c:extLst>
        </c:ser>
        <c:ser>
          <c:idx val="5"/>
          <c:order val="5"/>
          <c:tx>
            <c:strRef>
              <c:f>assumptions!$M$3</c:f>
              <c:strCache>
                <c:ptCount val="1"/>
                <c:pt idx="0">
                  <c:v>very high both lrs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assumptions!$M$4:$M$45</c15:sqref>
                  </c15:fullRef>
                </c:ext>
              </c:extLst>
              <c:f>assumptions!$M$15:$M$45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1573.2</c:v>
                </c:pt>
                <c:pt idx="6">
                  <c:v>1974.6</c:v>
                </c:pt>
                <c:pt idx="7">
                  <c:v>2546.6</c:v>
                </c:pt>
                <c:pt idx="8">
                  <c:v>3372.4</c:v>
                </c:pt>
                <c:pt idx="9">
                  <c:v>4374</c:v>
                </c:pt>
                <c:pt idx="10">
                  <c:v>5369.2</c:v>
                </c:pt>
                <c:pt idx="11">
                  <c:v>6308.4</c:v>
                </c:pt>
                <c:pt idx="12">
                  <c:v>7263.6</c:v>
                </c:pt>
                <c:pt idx="13">
                  <c:v>8282.7999999999993</c:v>
                </c:pt>
                <c:pt idx="14">
                  <c:v>9401.6</c:v>
                </c:pt>
                <c:pt idx="15">
                  <c:v>10561.6</c:v>
                </c:pt>
                <c:pt idx="16">
                  <c:v>11641.2</c:v>
                </c:pt>
                <c:pt idx="17">
                  <c:v>12591.6</c:v>
                </c:pt>
                <c:pt idx="18">
                  <c:v>13485</c:v>
                </c:pt>
                <c:pt idx="19">
                  <c:v>14349.6</c:v>
                </c:pt>
                <c:pt idx="20">
                  <c:v>15216.4</c:v>
                </c:pt>
                <c:pt idx="21">
                  <c:v>16110.2</c:v>
                </c:pt>
                <c:pt idx="22">
                  <c:v>16967.2</c:v>
                </c:pt>
                <c:pt idx="23">
                  <c:v>17678.2</c:v>
                </c:pt>
                <c:pt idx="24">
                  <c:v>18342.400000000001</c:v>
                </c:pt>
                <c:pt idx="25">
                  <c:v>19018.400000000001</c:v>
                </c:pt>
                <c:pt idx="26">
                  <c:v>19701.8</c:v>
                </c:pt>
                <c:pt idx="27">
                  <c:v>20401</c:v>
                </c:pt>
                <c:pt idx="28">
                  <c:v>21068.400000000001</c:v>
                </c:pt>
                <c:pt idx="29">
                  <c:v>21637.4</c:v>
                </c:pt>
                <c:pt idx="30">
                  <c:v>22174.799999999999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F5-498C-AD28-695D5869F1F0}"/>
            </c:ext>
          </c:extLst>
        </c:ser>
        <c:ser>
          <c:idx val="6"/>
          <c:order val="6"/>
          <c:tx>
            <c:strRef>
              <c:f>assumptions!$N$3</c:f>
              <c:strCache>
                <c:ptCount val="1"/>
                <c:pt idx="0">
                  <c:v>verhy high lrs and high max projects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assumptions!$N$4:$N$45</c15:sqref>
                  </c15:fullRef>
                </c:ext>
              </c:extLst>
              <c:f>assumptions!$N$15:$N$45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1567.2</c:v>
                </c:pt>
                <c:pt idx="6">
                  <c:v>1921.4</c:v>
                </c:pt>
                <c:pt idx="7">
                  <c:v>2679.2</c:v>
                </c:pt>
                <c:pt idx="8">
                  <c:v>4248.8</c:v>
                </c:pt>
                <c:pt idx="9">
                  <c:v>6672.2</c:v>
                </c:pt>
                <c:pt idx="10">
                  <c:v>10022.4</c:v>
                </c:pt>
                <c:pt idx="11">
                  <c:v>13681.4</c:v>
                </c:pt>
                <c:pt idx="12">
                  <c:v>16142.2</c:v>
                </c:pt>
                <c:pt idx="13">
                  <c:v>18499.2</c:v>
                </c:pt>
                <c:pt idx="14">
                  <c:v>21078.400000000001</c:v>
                </c:pt>
                <c:pt idx="15">
                  <c:v>23353.599999999999</c:v>
                </c:pt>
                <c:pt idx="16">
                  <c:v>25697</c:v>
                </c:pt>
                <c:pt idx="17">
                  <c:v>27938</c:v>
                </c:pt>
                <c:pt idx="18">
                  <c:v>28953</c:v>
                </c:pt>
                <c:pt idx="19">
                  <c:v>30099.599999999999</c:v>
                </c:pt>
                <c:pt idx="20">
                  <c:v>31322</c:v>
                </c:pt>
                <c:pt idx="21">
                  <c:v>32343.4</c:v>
                </c:pt>
                <c:pt idx="22">
                  <c:v>33420</c:v>
                </c:pt>
                <c:pt idx="23">
                  <c:v>34561</c:v>
                </c:pt>
                <c:pt idx="24">
                  <c:v>35028.6</c:v>
                </c:pt>
                <c:pt idx="25">
                  <c:v>35654.400000000001</c:v>
                </c:pt>
                <c:pt idx="26">
                  <c:v>36299.4</c:v>
                </c:pt>
                <c:pt idx="27">
                  <c:v>36799.199999999997</c:v>
                </c:pt>
                <c:pt idx="28">
                  <c:v>37295</c:v>
                </c:pt>
                <c:pt idx="29">
                  <c:v>37900.6</c:v>
                </c:pt>
                <c:pt idx="30">
                  <c:v>38164.6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F5-498C-AD28-695D5869F1F0}"/>
            </c:ext>
          </c:extLst>
        </c:ser>
        <c:ser>
          <c:idx val="7"/>
          <c:order val="7"/>
          <c:tx>
            <c:strRef>
              <c:f>assumptions!$O$3</c:f>
              <c:strCache>
                <c:ptCount val="1"/>
                <c:pt idx="0">
                  <c:v>verhy high lrs and high max projects and hybrid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assumptions!$O$4:$O$45</c15:sqref>
                  </c15:fullRef>
                </c:ext>
              </c:extLst>
              <c:f>assumptions!$O$15:$O$45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1584.8</c:v>
                </c:pt>
                <c:pt idx="6">
                  <c:v>1948.2</c:v>
                </c:pt>
                <c:pt idx="7">
                  <c:v>2767.2</c:v>
                </c:pt>
                <c:pt idx="8">
                  <c:v>4293.2</c:v>
                </c:pt>
                <c:pt idx="9">
                  <c:v>6703.2</c:v>
                </c:pt>
                <c:pt idx="10">
                  <c:v>9800</c:v>
                </c:pt>
                <c:pt idx="11">
                  <c:v>13040</c:v>
                </c:pt>
                <c:pt idx="12">
                  <c:v>15184</c:v>
                </c:pt>
                <c:pt idx="13">
                  <c:v>17235.8</c:v>
                </c:pt>
                <c:pt idx="14">
                  <c:v>19197.8</c:v>
                </c:pt>
                <c:pt idx="15">
                  <c:v>20958.8</c:v>
                </c:pt>
                <c:pt idx="16">
                  <c:v>22623.200000000001</c:v>
                </c:pt>
                <c:pt idx="17">
                  <c:v>24193.8</c:v>
                </c:pt>
                <c:pt idx="18">
                  <c:v>24950.6</c:v>
                </c:pt>
                <c:pt idx="19">
                  <c:v>25783</c:v>
                </c:pt>
                <c:pt idx="20">
                  <c:v>26435.4</c:v>
                </c:pt>
                <c:pt idx="21">
                  <c:v>27018</c:v>
                </c:pt>
                <c:pt idx="22">
                  <c:v>27539</c:v>
                </c:pt>
                <c:pt idx="23">
                  <c:v>28104.6</c:v>
                </c:pt>
                <c:pt idx="24">
                  <c:v>28348.6</c:v>
                </c:pt>
                <c:pt idx="25">
                  <c:v>28704.799999999999</c:v>
                </c:pt>
                <c:pt idx="26">
                  <c:v>28943.200000000001</c:v>
                </c:pt>
                <c:pt idx="27">
                  <c:v>29122.2</c:v>
                </c:pt>
                <c:pt idx="28">
                  <c:v>29287.599999999999</c:v>
                </c:pt>
                <c:pt idx="29">
                  <c:v>29494.400000000001</c:v>
                </c:pt>
                <c:pt idx="30">
                  <c:v>29590.799999999999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F5-498C-AD28-695D5869F1F0}"/>
            </c:ext>
          </c:extLst>
        </c:ser>
        <c:ser>
          <c:idx val="8"/>
          <c:order val="8"/>
          <c:tx>
            <c:strRef>
              <c:f>assumptions!$P$3</c:f>
              <c:strCache>
                <c:ptCount val="1"/>
                <c:pt idx="0">
                  <c:v>base_network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assumptions!$P$4:$P$45</c15:sqref>
                  </c15:fullRef>
                </c:ext>
              </c:extLst>
              <c:f>assumptions!$P$15:$P$45</c:f>
              <c:numCache>
                <c:formatCode>0</c:formatCode>
                <c:ptCount val="31"/>
                <c:pt idx="0">
                  <c:v>898</c:v>
                </c:pt>
                <c:pt idx="1">
                  <c:v>1025</c:v>
                </c:pt>
                <c:pt idx="2">
                  <c:v>1210</c:v>
                </c:pt>
                <c:pt idx="3">
                  <c:v>1374</c:v>
                </c:pt>
                <c:pt idx="4">
                  <c:v>1486</c:v>
                </c:pt>
                <c:pt idx="5">
                  <c:v>1576.6</c:v>
                </c:pt>
                <c:pt idx="6">
                  <c:v>1678.4</c:v>
                </c:pt>
                <c:pt idx="7">
                  <c:v>1798.2</c:v>
                </c:pt>
                <c:pt idx="8">
                  <c:v>2016.6</c:v>
                </c:pt>
                <c:pt idx="9">
                  <c:v>2337.1999999999998</c:v>
                </c:pt>
                <c:pt idx="10">
                  <c:v>2615.1999999999998</c:v>
                </c:pt>
                <c:pt idx="11">
                  <c:v>2889.8</c:v>
                </c:pt>
                <c:pt idx="12">
                  <c:v>3167.8</c:v>
                </c:pt>
                <c:pt idx="13">
                  <c:v>3448.8</c:v>
                </c:pt>
                <c:pt idx="14">
                  <c:v>3781.6</c:v>
                </c:pt>
                <c:pt idx="15">
                  <c:v>4185.6000000000004</c:v>
                </c:pt>
                <c:pt idx="16">
                  <c:v>4604</c:v>
                </c:pt>
                <c:pt idx="17">
                  <c:v>5002.3999999999996</c:v>
                </c:pt>
                <c:pt idx="18">
                  <c:v>5423.4</c:v>
                </c:pt>
                <c:pt idx="19">
                  <c:v>5852.6</c:v>
                </c:pt>
                <c:pt idx="20">
                  <c:v>6330.6</c:v>
                </c:pt>
                <c:pt idx="21">
                  <c:v>6901.8</c:v>
                </c:pt>
                <c:pt idx="22">
                  <c:v>7510.8</c:v>
                </c:pt>
                <c:pt idx="23">
                  <c:v>8154.4</c:v>
                </c:pt>
                <c:pt idx="24">
                  <c:v>8899.6</c:v>
                </c:pt>
                <c:pt idx="25">
                  <c:v>9709.6</c:v>
                </c:pt>
                <c:pt idx="26">
                  <c:v>10618</c:v>
                </c:pt>
                <c:pt idx="27">
                  <c:v>11653.8</c:v>
                </c:pt>
                <c:pt idx="28">
                  <c:v>12731.6</c:v>
                </c:pt>
                <c:pt idx="29">
                  <c:v>13803.8</c:v>
                </c:pt>
                <c:pt idx="30">
                  <c:v>14912.6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F5-498C-AD28-695D5869F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895888"/>
        <c:axId val="40689732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assumptions!$J$3</c15:sqref>
                        </c15:formulaRef>
                      </c:ext>
                    </c:extLst>
                    <c:strCache>
                      <c:ptCount val="1"/>
                      <c:pt idx="0">
                        <c:v>very high ind lr and high col lr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assumptions!$J$4:$J$45</c15:sqref>
                        </c15:fullRef>
                        <c15:formulaRef>
                          <c15:sqref>assumptions!$J$15:$J$45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898</c:v>
                      </c:pt>
                      <c:pt idx="1">
                        <c:v>1025</c:v>
                      </c:pt>
                      <c:pt idx="2">
                        <c:v>1210</c:v>
                      </c:pt>
                      <c:pt idx="3">
                        <c:v>1374</c:v>
                      </c:pt>
                      <c:pt idx="4">
                        <c:v>1486</c:v>
                      </c:pt>
                      <c:pt idx="5">
                        <c:v>1577.8</c:v>
                      </c:pt>
                      <c:pt idx="6">
                        <c:v>1980.4</c:v>
                      </c:pt>
                      <c:pt idx="7">
                        <c:v>2426.8000000000002</c:v>
                      </c:pt>
                      <c:pt idx="8">
                        <c:v>2912.8</c:v>
                      </c:pt>
                      <c:pt idx="9">
                        <c:v>3500.4</c:v>
                      </c:pt>
                      <c:pt idx="10">
                        <c:v>4037.6</c:v>
                      </c:pt>
                      <c:pt idx="11">
                        <c:v>4493.8</c:v>
                      </c:pt>
                      <c:pt idx="12">
                        <c:v>5207.2</c:v>
                      </c:pt>
                      <c:pt idx="13">
                        <c:v>6162.2</c:v>
                      </c:pt>
                      <c:pt idx="14">
                        <c:v>7089.8</c:v>
                      </c:pt>
                      <c:pt idx="15">
                        <c:v>8073.8</c:v>
                      </c:pt>
                      <c:pt idx="16">
                        <c:v>9007</c:v>
                      </c:pt>
                      <c:pt idx="17">
                        <c:v>9756.2000000000007</c:v>
                      </c:pt>
                      <c:pt idx="18">
                        <c:v>10634.8</c:v>
                      </c:pt>
                      <c:pt idx="19">
                        <c:v>11729.2</c:v>
                      </c:pt>
                      <c:pt idx="20">
                        <c:v>12682.6</c:v>
                      </c:pt>
                      <c:pt idx="21">
                        <c:v>13638.4</c:v>
                      </c:pt>
                      <c:pt idx="22">
                        <c:v>14545</c:v>
                      </c:pt>
                      <c:pt idx="23">
                        <c:v>15208</c:v>
                      </c:pt>
                      <c:pt idx="24">
                        <c:v>15934.4</c:v>
                      </c:pt>
                      <c:pt idx="25">
                        <c:v>16835.8</c:v>
                      </c:pt>
                      <c:pt idx="26">
                        <c:v>17600</c:v>
                      </c:pt>
                      <c:pt idx="27">
                        <c:v>18401.599999999999</c:v>
                      </c:pt>
                      <c:pt idx="28">
                        <c:v>19138</c:v>
                      </c:pt>
                      <c:pt idx="29">
                        <c:v>19655.400000000001</c:v>
                      </c:pt>
                      <c:pt idx="30">
                        <c:v>20253.400000000001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FF5-498C-AD28-695D5869F1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assumptions!$L$3</c15:sqref>
                        </c15:formulaRef>
                      </c:ext>
                    </c:extLst>
                    <c:strCache>
                      <c:ptCount val="1"/>
                      <c:pt idx="0">
                        <c:v>verhy high clr and high ilr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assumptions!$L$4:$L$45</c15:sqref>
                        </c15:fullRef>
                        <c15:formulaRef>
                          <c15:sqref>assumptions!$L$15:$L$45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898</c:v>
                      </c:pt>
                      <c:pt idx="1">
                        <c:v>1025</c:v>
                      </c:pt>
                      <c:pt idx="2">
                        <c:v>1210</c:v>
                      </c:pt>
                      <c:pt idx="3">
                        <c:v>1374</c:v>
                      </c:pt>
                      <c:pt idx="4">
                        <c:v>1486</c:v>
                      </c:pt>
                      <c:pt idx="5">
                        <c:v>1568.8</c:v>
                      </c:pt>
                      <c:pt idx="6">
                        <c:v>1845.6</c:v>
                      </c:pt>
                      <c:pt idx="7">
                        <c:v>2331.4</c:v>
                      </c:pt>
                      <c:pt idx="8">
                        <c:v>3039</c:v>
                      </c:pt>
                      <c:pt idx="9">
                        <c:v>3946.2</c:v>
                      </c:pt>
                      <c:pt idx="10">
                        <c:v>4952</c:v>
                      </c:pt>
                      <c:pt idx="11">
                        <c:v>5923.4</c:v>
                      </c:pt>
                      <c:pt idx="12">
                        <c:v>6780.8</c:v>
                      </c:pt>
                      <c:pt idx="13">
                        <c:v>7593.4</c:v>
                      </c:pt>
                      <c:pt idx="14">
                        <c:v>8547.6</c:v>
                      </c:pt>
                      <c:pt idx="15">
                        <c:v>9627</c:v>
                      </c:pt>
                      <c:pt idx="16">
                        <c:v>10770.6</c:v>
                      </c:pt>
                      <c:pt idx="17">
                        <c:v>11818.8</c:v>
                      </c:pt>
                      <c:pt idx="18">
                        <c:v>12739</c:v>
                      </c:pt>
                      <c:pt idx="19">
                        <c:v>13620.2</c:v>
                      </c:pt>
                      <c:pt idx="20">
                        <c:v>14610.2</c:v>
                      </c:pt>
                      <c:pt idx="21">
                        <c:v>15669.6</c:v>
                      </c:pt>
                      <c:pt idx="22">
                        <c:v>16699.8</c:v>
                      </c:pt>
                      <c:pt idx="23">
                        <c:v>17544</c:v>
                      </c:pt>
                      <c:pt idx="24">
                        <c:v>18216.2</c:v>
                      </c:pt>
                      <c:pt idx="25">
                        <c:v>18861.400000000001</c:v>
                      </c:pt>
                      <c:pt idx="26">
                        <c:v>19605.2</c:v>
                      </c:pt>
                      <c:pt idx="27">
                        <c:v>20370.400000000001</c:v>
                      </c:pt>
                      <c:pt idx="28">
                        <c:v>21095.200000000001</c:v>
                      </c:pt>
                      <c:pt idx="29">
                        <c:v>21681.599999999999</c:v>
                      </c:pt>
                      <c:pt idx="30">
                        <c:v>22159.599999999999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FF5-498C-AD28-695D5869F1F0}"/>
                  </c:ext>
                </c:extLst>
              </c15:ser>
            </c15:filteredLineSeries>
          </c:ext>
        </c:extLst>
      </c:lineChart>
      <c:catAx>
        <c:axId val="4068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06897328"/>
        <c:crosses val="autoZero"/>
        <c:auto val="1"/>
        <c:lblAlgn val="ctr"/>
        <c:lblOffset val="100"/>
        <c:noMultiLvlLbl val="0"/>
      </c:catAx>
      <c:valAx>
        <c:axId val="4068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068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Installed 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assumptions!$AB$3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assumptions!$AB$4:$AB$45</c15:sqref>
                  </c15:fullRef>
                </c:ext>
              </c:extLst>
              <c:f>assumptions!$AB$15:$AB$45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703309.8</c:v>
                </c:pt>
                <c:pt idx="6">
                  <c:v>757039.2</c:v>
                </c:pt>
                <c:pt idx="7">
                  <c:v>807997.2</c:v>
                </c:pt>
                <c:pt idx="8">
                  <c:v>903744.6</c:v>
                </c:pt>
                <c:pt idx="9">
                  <c:v>1051969.8</c:v>
                </c:pt>
                <c:pt idx="10">
                  <c:v>1175431.2</c:v>
                </c:pt>
                <c:pt idx="11">
                  <c:v>1276989.6000000001</c:v>
                </c:pt>
                <c:pt idx="12">
                  <c:v>1377207</c:v>
                </c:pt>
                <c:pt idx="13">
                  <c:v>1453465.2</c:v>
                </c:pt>
                <c:pt idx="14">
                  <c:v>1558957.2</c:v>
                </c:pt>
                <c:pt idx="15">
                  <c:v>1714960.2</c:v>
                </c:pt>
                <c:pt idx="16">
                  <c:v>1863185.4</c:v>
                </c:pt>
                <c:pt idx="17">
                  <c:v>1989865.2</c:v>
                </c:pt>
                <c:pt idx="18">
                  <c:v>2127451.7999999998</c:v>
                </c:pt>
                <c:pt idx="19">
                  <c:v>2240989.7999999998</c:v>
                </c:pt>
                <c:pt idx="20">
                  <c:v>2376520.2000000002</c:v>
                </c:pt>
                <c:pt idx="21">
                  <c:v>2564081.4</c:v>
                </c:pt>
                <c:pt idx="22">
                  <c:v>2755129.2</c:v>
                </c:pt>
                <c:pt idx="23">
                  <c:v>2931962.4</c:v>
                </c:pt>
                <c:pt idx="24">
                  <c:v>3111924.6</c:v>
                </c:pt>
                <c:pt idx="25">
                  <c:v>3268732.2</c:v>
                </c:pt>
                <c:pt idx="26">
                  <c:v>3442168.2</c:v>
                </c:pt>
                <c:pt idx="27">
                  <c:v>3663075.6</c:v>
                </c:pt>
                <c:pt idx="28">
                  <c:v>3891582</c:v>
                </c:pt>
                <c:pt idx="29">
                  <c:v>4100688.6</c:v>
                </c:pt>
                <c:pt idx="30">
                  <c:v>4309437.5999999996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2-478E-80A1-9B7E9A17F950}"/>
            </c:ext>
          </c:extLst>
        </c:ser>
        <c:ser>
          <c:idx val="1"/>
          <c:order val="1"/>
          <c:tx>
            <c:strRef>
              <c:f>assumptions!$AC$3</c:f>
              <c:strCache>
                <c:ptCount val="1"/>
                <c:pt idx="0">
                  <c:v>very 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assumptions!$AC$4:$AC$45</c15:sqref>
                  </c15:fullRef>
                </c:ext>
              </c:extLst>
              <c:f>assumptions!$AC$15:$AC$45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703309.8</c:v>
                </c:pt>
                <c:pt idx="6">
                  <c:v>876567</c:v>
                </c:pt>
                <c:pt idx="7">
                  <c:v>1030245.6</c:v>
                </c:pt>
                <c:pt idx="8">
                  <c:v>1188394.2</c:v>
                </c:pt>
                <c:pt idx="9">
                  <c:v>1373988.6</c:v>
                </c:pt>
                <c:pt idx="10">
                  <c:v>1513720.8</c:v>
                </c:pt>
                <c:pt idx="11">
                  <c:v>1605892.2</c:v>
                </c:pt>
                <c:pt idx="12">
                  <c:v>1825101</c:v>
                </c:pt>
                <c:pt idx="13">
                  <c:v>2085344.4</c:v>
                </c:pt>
                <c:pt idx="14">
                  <c:v>2337810</c:v>
                </c:pt>
                <c:pt idx="15">
                  <c:v>2618079</c:v>
                </c:pt>
                <c:pt idx="16">
                  <c:v>2859995.4</c:v>
                </c:pt>
                <c:pt idx="17">
                  <c:v>3018680.4</c:v>
                </c:pt>
                <c:pt idx="18">
                  <c:v>3288400.2</c:v>
                </c:pt>
                <c:pt idx="19">
                  <c:v>3630623.4</c:v>
                </c:pt>
                <c:pt idx="20">
                  <c:v>3970164.6</c:v>
                </c:pt>
                <c:pt idx="21">
                  <c:v>4326602.4000000004</c:v>
                </c:pt>
                <c:pt idx="22">
                  <c:v>4645581.5999999996</c:v>
                </c:pt>
                <c:pt idx="23">
                  <c:v>4864611.5999999996</c:v>
                </c:pt>
                <c:pt idx="24">
                  <c:v>5151585.5999999996</c:v>
                </c:pt>
                <c:pt idx="25">
                  <c:v>5519913.5999999996</c:v>
                </c:pt>
                <c:pt idx="26">
                  <c:v>5876440.7999999998</c:v>
                </c:pt>
                <c:pt idx="27">
                  <c:v>6242802</c:v>
                </c:pt>
                <c:pt idx="28">
                  <c:v>6575727.5999999996</c:v>
                </c:pt>
                <c:pt idx="29">
                  <c:v>6803787</c:v>
                </c:pt>
                <c:pt idx="30">
                  <c:v>7077082.7999999998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2-478E-80A1-9B7E9A17F950}"/>
            </c:ext>
          </c:extLst>
        </c:ser>
        <c:ser>
          <c:idx val="3"/>
          <c:order val="3"/>
          <c:tx>
            <c:strRef>
              <c:f>assumptions!$AE$3</c:f>
              <c:strCache>
                <c:ptCount val="1"/>
                <c:pt idx="0">
                  <c:v>very high clr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assumptions!$AE$4:$AE$45</c15:sqref>
                  </c15:fullRef>
                </c:ext>
              </c:extLst>
              <c:f>assumptions!$AE$15:$AE$45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706081.2</c:v>
                </c:pt>
                <c:pt idx="6">
                  <c:v>786004.8</c:v>
                </c:pt>
                <c:pt idx="7">
                  <c:v>946567.2</c:v>
                </c:pt>
                <c:pt idx="8">
                  <c:v>1197334.2</c:v>
                </c:pt>
                <c:pt idx="9">
                  <c:v>1530975</c:v>
                </c:pt>
                <c:pt idx="10">
                  <c:v>1879903.2</c:v>
                </c:pt>
                <c:pt idx="11">
                  <c:v>2215063.7999999998</c:v>
                </c:pt>
                <c:pt idx="12">
                  <c:v>2508921.6</c:v>
                </c:pt>
                <c:pt idx="13">
                  <c:v>2813775.6</c:v>
                </c:pt>
                <c:pt idx="14">
                  <c:v>3187020.6</c:v>
                </c:pt>
                <c:pt idx="15">
                  <c:v>3641798.4</c:v>
                </c:pt>
                <c:pt idx="16">
                  <c:v>4113562.2</c:v>
                </c:pt>
                <c:pt idx="17">
                  <c:v>4552337.4000000004</c:v>
                </c:pt>
                <c:pt idx="18">
                  <c:v>4923883.8</c:v>
                </c:pt>
                <c:pt idx="19">
                  <c:v>5274063.5999999996</c:v>
                </c:pt>
                <c:pt idx="20">
                  <c:v>5669748</c:v>
                </c:pt>
                <c:pt idx="21">
                  <c:v>6137041.7999999998</c:v>
                </c:pt>
                <c:pt idx="22">
                  <c:v>6621500.4000000004</c:v>
                </c:pt>
                <c:pt idx="23">
                  <c:v>7065907.7999999998</c:v>
                </c:pt>
                <c:pt idx="24">
                  <c:v>7435219.2000000002</c:v>
                </c:pt>
                <c:pt idx="25">
                  <c:v>7774402.7999999998</c:v>
                </c:pt>
                <c:pt idx="26">
                  <c:v>8145234</c:v>
                </c:pt>
                <c:pt idx="27">
                  <c:v>8564877.5999999996</c:v>
                </c:pt>
                <c:pt idx="28">
                  <c:v>8990958</c:v>
                </c:pt>
                <c:pt idx="29">
                  <c:v>9366616.8000000007</c:v>
                </c:pt>
                <c:pt idx="30">
                  <c:v>9653769.5999999996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2-478E-80A1-9B7E9A17F950}"/>
            </c:ext>
          </c:extLst>
        </c:ser>
        <c:ser>
          <c:idx val="5"/>
          <c:order val="5"/>
          <c:tx>
            <c:strRef>
              <c:f>assumptions!$AG$3</c:f>
              <c:strCache>
                <c:ptCount val="1"/>
                <c:pt idx="0">
                  <c:v>very high both lrs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assumptions!$AG$4:$AG$45</c15:sqref>
                  </c15:fullRef>
                </c:ext>
              </c:extLst>
              <c:f>assumptions!$AG$15:$AG$45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703220.4</c:v>
                </c:pt>
                <c:pt idx="6">
                  <c:v>882646.2</c:v>
                </c:pt>
                <c:pt idx="7">
                  <c:v>1138330.2</c:v>
                </c:pt>
                <c:pt idx="8">
                  <c:v>1507462.8</c:v>
                </c:pt>
                <c:pt idx="9">
                  <c:v>1955178</c:v>
                </c:pt>
                <c:pt idx="10">
                  <c:v>2400032.4</c:v>
                </c:pt>
                <c:pt idx="11">
                  <c:v>2819854.8</c:v>
                </c:pt>
                <c:pt idx="12">
                  <c:v>3246829.2</c:v>
                </c:pt>
                <c:pt idx="13">
                  <c:v>3702411.6</c:v>
                </c:pt>
                <c:pt idx="14">
                  <c:v>4202515.2</c:v>
                </c:pt>
                <c:pt idx="15">
                  <c:v>4721035.2</c:v>
                </c:pt>
                <c:pt idx="16">
                  <c:v>5203616.4000000004</c:v>
                </c:pt>
                <c:pt idx="17">
                  <c:v>5628445.2000000002</c:v>
                </c:pt>
                <c:pt idx="18">
                  <c:v>6027795</c:v>
                </c:pt>
                <c:pt idx="19">
                  <c:v>6414271.2000000002</c:v>
                </c:pt>
                <c:pt idx="20">
                  <c:v>6801730.7999999998</c:v>
                </c:pt>
                <c:pt idx="21">
                  <c:v>7201259.4000000004</c:v>
                </c:pt>
                <c:pt idx="22">
                  <c:v>7584338.4000000004</c:v>
                </c:pt>
                <c:pt idx="23">
                  <c:v>7902155.4000000004</c:v>
                </c:pt>
                <c:pt idx="24">
                  <c:v>8199052.7999999998</c:v>
                </c:pt>
                <c:pt idx="25">
                  <c:v>8501224.8000000007</c:v>
                </c:pt>
                <c:pt idx="26">
                  <c:v>8806704.5999999996</c:v>
                </c:pt>
                <c:pt idx="27">
                  <c:v>9119247</c:v>
                </c:pt>
                <c:pt idx="28">
                  <c:v>9417574.8000000007</c:v>
                </c:pt>
                <c:pt idx="29">
                  <c:v>9671917.8000000007</c:v>
                </c:pt>
                <c:pt idx="30">
                  <c:v>9912135.5999999996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2-478E-80A1-9B7E9A17F950}"/>
            </c:ext>
          </c:extLst>
        </c:ser>
        <c:ser>
          <c:idx val="6"/>
          <c:order val="6"/>
          <c:tx>
            <c:strRef>
              <c:f>assumptions!$AH$3</c:f>
              <c:strCache>
                <c:ptCount val="1"/>
                <c:pt idx="0">
                  <c:v>verhy high lrs and high max projects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assumptions!$AH$4:$AH$45</c15:sqref>
                  </c15:fullRef>
                </c:ext>
              </c:extLst>
              <c:f>assumptions!$AH$15:$AH$45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700538.4</c:v>
                </c:pt>
                <c:pt idx="6">
                  <c:v>858865.8</c:v>
                </c:pt>
                <c:pt idx="7">
                  <c:v>1197602.3999999999</c:v>
                </c:pt>
                <c:pt idx="8">
                  <c:v>1899213.6</c:v>
                </c:pt>
                <c:pt idx="9">
                  <c:v>2982473.4</c:v>
                </c:pt>
                <c:pt idx="10">
                  <c:v>4480012.8</c:v>
                </c:pt>
                <c:pt idx="11">
                  <c:v>6115585.7999999998</c:v>
                </c:pt>
                <c:pt idx="12">
                  <c:v>7215563.4000000004</c:v>
                </c:pt>
                <c:pt idx="13">
                  <c:v>8269142.4000000004</c:v>
                </c:pt>
                <c:pt idx="14">
                  <c:v>9422044.8000000007</c:v>
                </c:pt>
                <c:pt idx="15">
                  <c:v>10439059.199999999</c:v>
                </c:pt>
                <c:pt idx="16">
                  <c:v>11486559</c:v>
                </c:pt>
                <c:pt idx="17">
                  <c:v>12488286</c:v>
                </c:pt>
                <c:pt idx="18">
                  <c:v>12941991</c:v>
                </c:pt>
                <c:pt idx="19">
                  <c:v>13454521.199999999</c:v>
                </c:pt>
                <c:pt idx="20">
                  <c:v>14000934</c:v>
                </c:pt>
                <c:pt idx="21">
                  <c:v>14457499.800000001</c:v>
                </c:pt>
                <c:pt idx="22">
                  <c:v>14938740</c:v>
                </c:pt>
                <c:pt idx="23">
                  <c:v>15448767</c:v>
                </c:pt>
                <c:pt idx="24">
                  <c:v>15657784.199999999</c:v>
                </c:pt>
                <c:pt idx="25">
                  <c:v>15937516.800000001</c:v>
                </c:pt>
                <c:pt idx="26">
                  <c:v>16225831.800000001</c:v>
                </c:pt>
                <c:pt idx="27">
                  <c:v>16449242.4</c:v>
                </c:pt>
                <c:pt idx="28">
                  <c:v>16670865</c:v>
                </c:pt>
                <c:pt idx="29">
                  <c:v>16941568.199999999</c:v>
                </c:pt>
                <c:pt idx="30">
                  <c:v>17059576.199999999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A2-478E-80A1-9B7E9A17F950}"/>
            </c:ext>
          </c:extLst>
        </c:ser>
        <c:ser>
          <c:idx val="7"/>
          <c:order val="7"/>
          <c:tx>
            <c:strRef>
              <c:f>assumptions!$AI$3</c:f>
              <c:strCache>
                <c:ptCount val="1"/>
                <c:pt idx="0">
                  <c:v>verhy high lrs and high max projects and hybrid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assumptions!$AI$4:$AI$45</c15:sqref>
                  </c15:fullRef>
                </c:ext>
              </c:extLst>
              <c:f>assumptions!$AI$15:$AI$45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796732.8</c:v>
                </c:pt>
                <c:pt idx="6">
                  <c:v>1284052.2</c:v>
                </c:pt>
                <c:pt idx="7">
                  <c:v>2382331.2000000002</c:v>
                </c:pt>
                <c:pt idx="8">
                  <c:v>4428697.2</c:v>
                </c:pt>
                <c:pt idx="9">
                  <c:v>7660507.2000000002</c:v>
                </c:pt>
                <c:pt idx="10">
                  <c:v>11813316</c:v>
                </c:pt>
                <c:pt idx="11">
                  <c:v>16158156</c:v>
                </c:pt>
                <c:pt idx="12">
                  <c:v>19033260</c:v>
                </c:pt>
                <c:pt idx="13">
                  <c:v>21784723.800000001</c:v>
                </c:pt>
                <c:pt idx="14">
                  <c:v>24415765.800000001</c:v>
                </c:pt>
                <c:pt idx="15">
                  <c:v>26777266.800000001</c:v>
                </c:pt>
                <c:pt idx="16">
                  <c:v>29009227.199999999</c:v>
                </c:pt>
                <c:pt idx="17">
                  <c:v>31115401.800000001</c:v>
                </c:pt>
                <c:pt idx="18">
                  <c:v>32130270.600000001</c:v>
                </c:pt>
                <c:pt idx="19">
                  <c:v>33246519</c:v>
                </c:pt>
                <c:pt idx="20">
                  <c:v>34121387.399999999</c:v>
                </c:pt>
                <c:pt idx="21">
                  <c:v>34902654</c:v>
                </c:pt>
                <c:pt idx="22">
                  <c:v>35601315</c:v>
                </c:pt>
                <c:pt idx="23">
                  <c:v>36359784.600000001</c:v>
                </c:pt>
                <c:pt idx="24">
                  <c:v>36686988.600000001</c:v>
                </c:pt>
                <c:pt idx="25">
                  <c:v>37164652.799999997</c:v>
                </c:pt>
                <c:pt idx="26">
                  <c:v>37484347.200000003</c:v>
                </c:pt>
                <c:pt idx="27">
                  <c:v>37724386.200000003</c:v>
                </c:pt>
                <c:pt idx="28">
                  <c:v>37946187.600000001</c:v>
                </c:pt>
                <c:pt idx="29">
                  <c:v>38223506.399999999</c:v>
                </c:pt>
                <c:pt idx="30">
                  <c:v>38352778.799999997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A2-478E-80A1-9B7E9A17F950}"/>
            </c:ext>
          </c:extLst>
        </c:ser>
        <c:ser>
          <c:idx val="8"/>
          <c:order val="8"/>
          <c:tx>
            <c:strRef>
              <c:f>assumptions!$AJ$3</c:f>
              <c:strCache>
                <c:ptCount val="1"/>
                <c:pt idx="0">
                  <c:v>base_network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assumptions!$AJ$4:$AJ$45</c15:sqref>
                  </c15:fullRef>
                </c:ext>
              </c:extLst>
              <c:f>assumptions!$AJ$15:$AJ$45</c:f>
              <c:numCache>
                <c:formatCode>0</c:formatCode>
                <c:ptCount val="31"/>
                <c:pt idx="0">
                  <c:v>401406</c:v>
                </c:pt>
                <c:pt idx="1">
                  <c:v>458175</c:v>
                </c:pt>
                <c:pt idx="2">
                  <c:v>540870</c:v>
                </c:pt>
                <c:pt idx="3">
                  <c:v>614178</c:v>
                </c:pt>
                <c:pt idx="4">
                  <c:v>664242</c:v>
                </c:pt>
                <c:pt idx="5">
                  <c:v>704740.2</c:v>
                </c:pt>
                <c:pt idx="6">
                  <c:v>750244.8</c:v>
                </c:pt>
                <c:pt idx="7">
                  <c:v>803795.4</c:v>
                </c:pt>
                <c:pt idx="8">
                  <c:v>901420.2</c:v>
                </c:pt>
                <c:pt idx="9">
                  <c:v>1044728.4</c:v>
                </c:pt>
                <c:pt idx="10">
                  <c:v>1168994.3999999999</c:v>
                </c:pt>
                <c:pt idx="11">
                  <c:v>1291740.6000000001</c:v>
                </c:pt>
                <c:pt idx="12">
                  <c:v>1416006.6</c:v>
                </c:pt>
                <c:pt idx="13">
                  <c:v>1541613.6</c:v>
                </c:pt>
                <c:pt idx="14">
                  <c:v>1690375.2</c:v>
                </c:pt>
                <c:pt idx="15">
                  <c:v>1870963.2</c:v>
                </c:pt>
                <c:pt idx="16">
                  <c:v>2057988</c:v>
                </c:pt>
                <c:pt idx="17">
                  <c:v>2236072.7999999998</c:v>
                </c:pt>
                <c:pt idx="18">
                  <c:v>2424259.7999999998</c:v>
                </c:pt>
                <c:pt idx="19">
                  <c:v>2616112.2000000002</c:v>
                </c:pt>
                <c:pt idx="20">
                  <c:v>2829778.2</c:v>
                </c:pt>
                <c:pt idx="21">
                  <c:v>3085104.6</c:v>
                </c:pt>
                <c:pt idx="22">
                  <c:v>3357327.6</c:v>
                </c:pt>
                <c:pt idx="23">
                  <c:v>3645016.8</c:v>
                </c:pt>
                <c:pt idx="24">
                  <c:v>3978121.2</c:v>
                </c:pt>
                <c:pt idx="25">
                  <c:v>4340191.2</c:v>
                </c:pt>
                <c:pt idx="26">
                  <c:v>4746246</c:v>
                </c:pt>
                <c:pt idx="27">
                  <c:v>5209248.5999999996</c:v>
                </c:pt>
                <c:pt idx="28">
                  <c:v>5691025.2000000002</c:v>
                </c:pt>
                <c:pt idx="29">
                  <c:v>6170298.5999999996</c:v>
                </c:pt>
                <c:pt idx="30">
                  <c:v>6665932.2000000002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A2-478E-80A1-9B7E9A17F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150032"/>
        <c:axId val="70814811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assumptions!$AD$3</c15:sqref>
                        </c15:formulaRef>
                      </c:ext>
                    </c:extLst>
                    <c:strCache>
                      <c:ptCount val="1"/>
                      <c:pt idx="0">
                        <c:v>very high ind lr and high col lr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assumptions!$AD$4:$AD$45</c15:sqref>
                        </c15:fullRef>
                        <c15:formulaRef>
                          <c15:sqref>assumptions!$AD$15:$AD$45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401406</c:v>
                      </c:pt>
                      <c:pt idx="1">
                        <c:v>458175</c:v>
                      </c:pt>
                      <c:pt idx="2">
                        <c:v>540870</c:v>
                      </c:pt>
                      <c:pt idx="3">
                        <c:v>614178</c:v>
                      </c:pt>
                      <c:pt idx="4">
                        <c:v>664242</c:v>
                      </c:pt>
                      <c:pt idx="5">
                        <c:v>705276.6</c:v>
                      </c:pt>
                      <c:pt idx="6">
                        <c:v>885238.8</c:v>
                      </c:pt>
                      <c:pt idx="7">
                        <c:v>1084779.6000000001</c:v>
                      </c:pt>
                      <c:pt idx="8">
                        <c:v>1302021.6000000001</c:v>
                      </c:pt>
                      <c:pt idx="9">
                        <c:v>1564678.8</c:v>
                      </c:pt>
                      <c:pt idx="10">
                        <c:v>1804807.2</c:v>
                      </c:pt>
                      <c:pt idx="11">
                        <c:v>2008728.6</c:v>
                      </c:pt>
                      <c:pt idx="12">
                        <c:v>2327618.4</c:v>
                      </c:pt>
                      <c:pt idx="13">
                        <c:v>2754503.4</c:v>
                      </c:pt>
                      <c:pt idx="14">
                        <c:v>3169140.6</c:v>
                      </c:pt>
                      <c:pt idx="15">
                        <c:v>3608988.6</c:v>
                      </c:pt>
                      <c:pt idx="16">
                        <c:v>4026129</c:v>
                      </c:pt>
                      <c:pt idx="17">
                        <c:v>4361021.4000000004</c:v>
                      </c:pt>
                      <c:pt idx="18">
                        <c:v>4753755.5999999996</c:v>
                      </c:pt>
                      <c:pt idx="19">
                        <c:v>5242952.4000000004</c:v>
                      </c:pt>
                      <c:pt idx="20">
                        <c:v>5669122.2000000002</c:v>
                      </c:pt>
                      <c:pt idx="21">
                        <c:v>6096364.7999999998</c:v>
                      </c:pt>
                      <c:pt idx="22">
                        <c:v>6501615</c:v>
                      </c:pt>
                      <c:pt idx="23">
                        <c:v>6797976</c:v>
                      </c:pt>
                      <c:pt idx="24">
                        <c:v>7122676.7999999998</c:v>
                      </c:pt>
                      <c:pt idx="25">
                        <c:v>7525602.5999999996</c:v>
                      </c:pt>
                      <c:pt idx="26">
                        <c:v>7867200</c:v>
                      </c:pt>
                      <c:pt idx="27">
                        <c:v>8225515.2000000002</c:v>
                      </c:pt>
                      <c:pt idx="28">
                        <c:v>8554686</c:v>
                      </c:pt>
                      <c:pt idx="29">
                        <c:v>8785963.8000000007</c:v>
                      </c:pt>
                      <c:pt idx="30">
                        <c:v>9053269.8000000007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AA2-478E-80A1-9B7E9A17F95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assumptions!$AF$3</c15:sqref>
                        </c15:formulaRef>
                      </c:ext>
                    </c:extLst>
                    <c:strCache>
                      <c:ptCount val="1"/>
                      <c:pt idx="0">
                        <c:v>verhy high clr and high ilr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assumptions!$AF$4:$AF$45</c15:sqref>
                        </c15:fullRef>
                        <c15:formulaRef>
                          <c15:sqref>assumptions!$AF$15:$AF$45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401406</c:v>
                      </c:pt>
                      <c:pt idx="1">
                        <c:v>458175</c:v>
                      </c:pt>
                      <c:pt idx="2">
                        <c:v>540870</c:v>
                      </c:pt>
                      <c:pt idx="3">
                        <c:v>614178</c:v>
                      </c:pt>
                      <c:pt idx="4">
                        <c:v>664242</c:v>
                      </c:pt>
                      <c:pt idx="5">
                        <c:v>701253.6</c:v>
                      </c:pt>
                      <c:pt idx="6">
                        <c:v>824983.2</c:v>
                      </c:pt>
                      <c:pt idx="7">
                        <c:v>1042135.8</c:v>
                      </c:pt>
                      <c:pt idx="8">
                        <c:v>1358433</c:v>
                      </c:pt>
                      <c:pt idx="9">
                        <c:v>1763951.4</c:v>
                      </c:pt>
                      <c:pt idx="10">
                        <c:v>2213544</c:v>
                      </c:pt>
                      <c:pt idx="11">
                        <c:v>2647759.7999999998</c:v>
                      </c:pt>
                      <c:pt idx="12">
                        <c:v>3031017.6</c:v>
                      </c:pt>
                      <c:pt idx="13">
                        <c:v>3394249.8</c:v>
                      </c:pt>
                      <c:pt idx="14">
                        <c:v>3820777.2</c:v>
                      </c:pt>
                      <c:pt idx="15">
                        <c:v>4303269</c:v>
                      </c:pt>
                      <c:pt idx="16">
                        <c:v>4814458.2</c:v>
                      </c:pt>
                      <c:pt idx="17">
                        <c:v>5283003.5999999996</c:v>
                      </c:pt>
                      <c:pt idx="18">
                        <c:v>5694333</c:v>
                      </c:pt>
                      <c:pt idx="19">
                        <c:v>6088229.4000000004</c:v>
                      </c:pt>
                      <c:pt idx="20">
                        <c:v>6530759.4000000004</c:v>
                      </c:pt>
                      <c:pt idx="21">
                        <c:v>7004311.2000000002</c:v>
                      </c:pt>
                      <c:pt idx="22">
                        <c:v>7464810.5999999996</c:v>
                      </c:pt>
                      <c:pt idx="23">
                        <c:v>7842168</c:v>
                      </c:pt>
                      <c:pt idx="24">
                        <c:v>8142641.4000000004</c:v>
                      </c:pt>
                      <c:pt idx="25">
                        <c:v>8431045.8000000007</c:v>
                      </c:pt>
                      <c:pt idx="26">
                        <c:v>8763524.4000000004</c:v>
                      </c:pt>
                      <c:pt idx="27">
                        <c:v>9105568.8000000007</c:v>
                      </c:pt>
                      <c:pt idx="28">
                        <c:v>9429554.4000000004</c:v>
                      </c:pt>
                      <c:pt idx="29">
                        <c:v>9691675.1999999993</c:v>
                      </c:pt>
                      <c:pt idx="30">
                        <c:v>9905341.1999999993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AA2-478E-80A1-9B7E9A17F950}"/>
                  </c:ext>
                </c:extLst>
              </c15:ser>
            </c15:filteredLineSeries>
          </c:ext>
        </c:extLst>
      </c:lineChart>
      <c:catAx>
        <c:axId val="7081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08148112"/>
        <c:crosses val="autoZero"/>
        <c:auto val="1"/>
        <c:lblAlgn val="ctr"/>
        <c:lblOffset val="100"/>
        <c:noMultiLvlLbl val="0"/>
      </c:catAx>
      <c:valAx>
        <c:axId val="7081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0815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 members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assumptions!$AL$3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assumptions!$AL$4:$AL$45</c15:sqref>
                  </c15:fullRef>
                </c:ext>
              </c:extLst>
              <c:f>assumptions!$AL$15:$AL$45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1.7698</c:v>
                </c:pt>
                <c:pt idx="6">
                  <c:v>1.905</c:v>
                </c:pt>
                <c:pt idx="7">
                  <c:v>2.0335999999999999</c:v>
                </c:pt>
                <c:pt idx="8">
                  <c:v>2.2747999999999999</c:v>
                </c:pt>
                <c:pt idx="9">
                  <c:v>2.6485999999999996</c:v>
                </c:pt>
                <c:pt idx="10">
                  <c:v>2.9598</c:v>
                </c:pt>
                <c:pt idx="11">
                  <c:v>3.2155999999999998</c:v>
                </c:pt>
                <c:pt idx="12">
                  <c:v>3.4685999999999999</c:v>
                </c:pt>
                <c:pt idx="13">
                  <c:v>3.6606000000000001</c:v>
                </c:pt>
                <c:pt idx="14">
                  <c:v>3.9265999999999996</c:v>
                </c:pt>
                <c:pt idx="15">
                  <c:v>4.3193999999999999</c:v>
                </c:pt>
                <c:pt idx="16">
                  <c:v>4.6926000000000005</c:v>
                </c:pt>
                <c:pt idx="17">
                  <c:v>5.0114000000000001</c:v>
                </c:pt>
                <c:pt idx="18">
                  <c:v>5.3575999999999997</c:v>
                </c:pt>
                <c:pt idx="19">
                  <c:v>5.6433999999999997</c:v>
                </c:pt>
                <c:pt idx="20">
                  <c:v>5.9849999999999994</c:v>
                </c:pt>
                <c:pt idx="21">
                  <c:v>6.4565999999999999</c:v>
                </c:pt>
                <c:pt idx="22">
                  <c:v>6.9371999999999998</c:v>
                </c:pt>
                <c:pt idx="23">
                  <c:v>7.3822000000000001</c:v>
                </c:pt>
                <c:pt idx="24">
                  <c:v>7.8352000000000004</c:v>
                </c:pt>
                <c:pt idx="25">
                  <c:v>8.2298000000000009</c:v>
                </c:pt>
                <c:pt idx="26">
                  <c:v>8.6660000000000004</c:v>
                </c:pt>
                <c:pt idx="27">
                  <c:v>9.2218000000000018</c:v>
                </c:pt>
                <c:pt idx="28">
                  <c:v>9.7966000000000015</c:v>
                </c:pt>
                <c:pt idx="29">
                  <c:v>10.3226</c:v>
                </c:pt>
                <c:pt idx="30">
                  <c:v>10.847800000000001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E-40B2-A25A-002901F5DBDA}"/>
            </c:ext>
          </c:extLst>
        </c:ser>
        <c:ser>
          <c:idx val="1"/>
          <c:order val="1"/>
          <c:tx>
            <c:strRef>
              <c:f>assumptions!$AM$3</c:f>
              <c:strCache>
                <c:ptCount val="1"/>
                <c:pt idx="0">
                  <c:v>very 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assumptions!$AM$4:$AM$45</c15:sqref>
                  </c15:fullRef>
                </c:ext>
              </c:extLst>
              <c:f>assumptions!$AM$15:$AM$45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1.7695999999999998</c:v>
                </c:pt>
                <c:pt idx="6">
                  <c:v>2.2087999999999997</c:v>
                </c:pt>
                <c:pt idx="7">
                  <c:v>2.5972</c:v>
                </c:pt>
                <c:pt idx="8">
                  <c:v>2.9955999999999996</c:v>
                </c:pt>
                <c:pt idx="9">
                  <c:v>3.4625999999999997</c:v>
                </c:pt>
                <c:pt idx="10">
                  <c:v>3.8137999999999996</c:v>
                </c:pt>
                <c:pt idx="11">
                  <c:v>4.0456000000000003</c:v>
                </c:pt>
                <c:pt idx="12">
                  <c:v>4.5961999999999996</c:v>
                </c:pt>
                <c:pt idx="13">
                  <c:v>5.25</c:v>
                </c:pt>
                <c:pt idx="14">
                  <c:v>5.8849999999999998</c:v>
                </c:pt>
                <c:pt idx="15">
                  <c:v>6.5894000000000004</c:v>
                </c:pt>
                <c:pt idx="16">
                  <c:v>7.1975999999999996</c:v>
                </c:pt>
                <c:pt idx="17">
                  <c:v>7.5961999999999987</c:v>
                </c:pt>
                <c:pt idx="18">
                  <c:v>8.2750000000000004</c:v>
                </c:pt>
                <c:pt idx="19">
                  <c:v>9.1356000000000019</c:v>
                </c:pt>
                <c:pt idx="20">
                  <c:v>9.9897999999999989</c:v>
                </c:pt>
                <c:pt idx="21">
                  <c:v>10.8864</c:v>
                </c:pt>
                <c:pt idx="22">
                  <c:v>11.688800000000001</c:v>
                </c:pt>
                <c:pt idx="23">
                  <c:v>12.24</c:v>
                </c:pt>
                <c:pt idx="24">
                  <c:v>12.9618</c:v>
                </c:pt>
                <c:pt idx="25">
                  <c:v>13.888200000000001</c:v>
                </c:pt>
                <c:pt idx="26">
                  <c:v>14.7852</c:v>
                </c:pt>
                <c:pt idx="27">
                  <c:v>15.706999999999999</c:v>
                </c:pt>
                <c:pt idx="28">
                  <c:v>16.544599999999996</c:v>
                </c:pt>
                <c:pt idx="29">
                  <c:v>17.118400000000001</c:v>
                </c:pt>
                <c:pt idx="30">
                  <c:v>17.806000000000004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E-40B2-A25A-002901F5DBDA}"/>
            </c:ext>
          </c:extLst>
        </c:ser>
        <c:ser>
          <c:idx val="3"/>
          <c:order val="3"/>
          <c:tx>
            <c:strRef>
              <c:f>assumptions!$AO$3</c:f>
              <c:strCache>
                <c:ptCount val="1"/>
                <c:pt idx="0">
                  <c:v>very high clr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assumptions!$AO$4:$AO$45</c15:sqref>
                  </c15:fullRef>
                </c:ext>
              </c:extLst>
              <c:f>assumptions!$AO$15:$AO$45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1.7768000000000002</c:v>
                </c:pt>
                <c:pt idx="6">
                  <c:v>1.9783999999999999</c:v>
                </c:pt>
                <c:pt idx="7">
                  <c:v>2.3832</c:v>
                </c:pt>
                <c:pt idx="8">
                  <c:v>3.0151999999999997</c:v>
                </c:pt>
                <c:pt idx="9">
                  <c:v>3.8554000000000004</c:v>
                </c:pt>
                <c:pt idx="10">
                  <c:v>4.7337999999999996</c:v>
                </c:pt>
                <c:pt idx="11">
                  <c:v>5.5780000000000003</c:v>
                </c:pt>
                <c:pt idx="12">
                  <c:v>6.3176000000000005</c:v>
                </c:pt>
                <c:pt idx="13">
                  <c:v>7.0847999999999995</c:v>
                </c:pt>
                <c:pt idx="14">
                  <c:v>8.0239999999999991</c:v>
                </c:pt>
                <c:pt idx="15">
                  <c:v>9.1682000000000006</c:v>
                </c:pt>
                <c:pt idx="16">
                  <c:v>10.355399999999999</c:v>
                </c:pt>
                <c:pt idx="17">
                  <c:v>11.4588</c:v>
                </c:pt>
                <c:pt idx="18">
                  <c:v>12.3934</c:v>
                </c:pt>
                <c:pt idx="19">
                  <c:v>13.274000000000001</c:v>
                </c:pt>
                <c:pt idx="20">
                  <c:v>14.268799999999999</c:v>
                </c:pt>
                <c:pt idx="21">
                  <c:v>15.443999999999999</c:v>
                </c:pt>
                <c:pt idx="22">
                  <c:v>16.662399999999998</c:v>
                </c:pt>
                <c:pt idx="23">
                  <c:v>17.780399999999997</c:v>
                </c:pt>
                <c:pt idx="24">
                  <c:v>18.709000000000003</c:v>
                </c:pt>
                <c:pt idx="25">
                  <c:v>19.562000000000001</c:v>
                </c:pt>
                <c:pt idx="26">
                  <c:v>20.494999999999997</c:v>
                </c:pt>
                <c:pt idx="27">
                  <c:v>21.550599999999999</c:v>
                </c:pt>
                <c:pt idx="28">
                  <c:v>22.622199999999999</c:v>
                </c:pt>
                <c:pt idx="29">
                  <c:v>23.567399999999999</c:v>
                </c:pt>
                <c:pt idx="30">
                  <c:v>24.289799999999996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1E-40B2-A25A-002901F5DBDA}"/>
            </c:ext>
          </c:extLst>
        </c:ser>
        <c:ser>
          <c:idx val="5"/>
          <c:order val="5"/>
          <c:tx>
            <c:strRef>
              <c:f>assumptions!$AQ$3</c:f>
              <c:strCache>
                <c:ptCount val="1"/>
                <c:pt idx="0">
                  <c:v>very high both lrs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assumptions!$AQ$4:$AQ$45</c15:sqref>
                  </c15:fullRef>
                </c:ext>
              </c:extLst>
              <c:f>assumptions!$AQ$15:$AQ$45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1.7693999999999999</c:v>
                </c:pt>
                <c:pt idx="6">
                  <c:v>2.2237999999999998</c:v>
                </c:pt>
                <c:pt idx="7">
                  <c:v>2.8690000000000007</c:v>
                </c:pt>
                <c:pt idx="8">
                  <c:v>3.7985999999999995</c:v>
                </c:pt>
                <c:pt idx="9">
                  <c:v>4.9248000000000003</c:v>
                </c:pt>
                <c:pt idx="10">
                  <c:v>6.0435999999999996</c:v>
                </c:pt>
                <c:pt idx="11">
                  <c:v>7.0987999999999998</c:v>
                </c:pt>
                <c:pt idx="12">
                  <c:v>8.1720000000000006</c:v>
                </c:pt>
                <c:pt idx="13">
                  <c:v>9.3171999999999997</c:v>
                </c:pt>
                <c:pt idx="14">
                  <c:v>10.575199999999999</c:v>
                </c:pt>
                <c:pt idx="15">
                  <c:v>11.879</c:v>
                </c:pt>
                <c:pt idx="16">
                  <c:v>13.0932</c:v>
                </c:pt>
                <c:pt idx="17">
                  <c:v>14.161599999999998</c:v>
                </c:pt>
                <c:pt idx="18">
                  <c:v>15.166399999999999</c:v>
                </c:pt>
                <c:pt idx="19">
                  <c:v>16.1386</c:v>
                </c:pt>
                <c:pt idx="20">
                  <c:v>17.113399999999999</c:v>
                </c:pt>
                <c:pt idx="21">
                  <c:v>18.118599999999997</c:v>
                </c:pt>
                <c:pt idx="22">
                  <c:v>19.0824</c:v>
                </c:pt>
                <c:pt idx="23">
                  <c:v>19.881799999999998</c:v>
                </c:pt>
                <c:pt idx="24">
                  <c:v>20.628800000000002</c:v>
                </c:pt>
                <c:pt idx="25">
                  <c:v>21.388999999999999</c:v>
                </c:pt>
                <c:pt idx="26">
                  <c:v>22.157600000000002</c:v>
                </c:pt>
                <c:pt idx="27">
                  <c:v>22.944000000000003</c:v>
                </c:pt>
                <c:pt idx="28">
                  <c:v>23.694800000000001</c:v>
                </c:pt>
                <c:pt idx="29">
                  <c:v>24.334600000000002</c:v>
                </c:pt>
                <c:pt idx="30">
                  <c:v>24.938799999999997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1E-40B2-A25A-002901F5DBDA}"/>
            </c:ext>
          </c:extLst>
        </c:ser>
        <c:ser>
          <c:idx val="6"/>
          <c:order val="6"/>
          <c:tx>
            <c:strRef>
              <c:f>assumptions!$AR$3</c:f>
              <c:strCache>
                <c:ptCount val="1"/>
                <c:pt idx="0">
                  <c:v>verhy high lrs and high max projects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assumptions!$AR$4:$AR$45</c15:sqref>
                  </c15:fullRef>
                </c:ext>
              </c:extLst>
              <c:f>assumptions!$AR$15:$AR$45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1.7624000000000002</c:v>
                </c:pt>
                <c:pt idx="6">
                  <c:v>2.1635999999999997</c:v>
                </c:pt>
                <c:pt idx="7">
                  <c:v>3.0182000000000002</c:v>
                </c:pt>
                <c:pt idx="8">
                  <c:v>4.7838000000000003</c:v>
                </c:pt>
                <c:pt idx="9">
                  <c:v>7.5098000000000003</c:v>
                </c:pt>
                <c:pt idx="10">
                  <c:v>11.2766</c:v>
                </c:pt>
                <c:pt idx="11">
                  <c:v>15.390199999999998</c:v>
                </c:pt>
                <c:pt idx="12">
                  <c:v>18.156399999999998</c:v>
                </c:pt>
                <c:pt idx="13">
                  <c:v>20.806199999999997</c:v>
                </c:pt>
                <c:pt idx="14">
                  <c:v>23.706200000000003</c:v>
                </c:pt>
                <c:pt idx="15">
                  <c:v>26.264799999999997</c:v>
                </c:pt>
                <c:pt idx="16">
                  <c:v>28.900200000000002</c:v>
                </c:pt>
                <c:pt idx="17">
                  <c:v>31.4206</c:v>
                </c:pt>
                <c:pt idx="18">
                  <c:v>32.562199999999997</c:v>
                </c:pt>
                <c:pt idx="19">
                  <c:v>33.851399999999998</c:v>
                </c:pt>
                <c:pt idx="20">
                  <c:v>35.226399999999998</c:v>
                </c:pt>
                <c:pt idx="21">
                  <c:v>36.374799999999993</c:v>
                </c:pt>
                <c:pt idx="22">
                  <c:v>37.585799999999999</c:v>
                </c:pt>
                <c:pt idx="23">
                  <c:v>38.8688</c:v>
                </c:pt>
                <c:pt idx="24">
                  <c:v>39.394800000000004</c:v>
                </c:pt>
                <c:pt idx="25">
                  <c:v>40.098599999999998</c:v>
                </c:pt>
                <c:pt idx="26">
                  <c:v>40.823800000000006</c:v>
                </c:pt>
                <c:pt idx="27">
                  <c:v>41.386200000000002</c:v>
                </c:pt>
                <c:pt idx="28">
                  <c:v>41.943399999999997</c:v>
                </c:pt>
                <c:pt idx="29">
                  <c:v>42.624600000000001</c:v>
                </c:pt>
                <c:pt idx="30">
                  <c:v>42.921599999999998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1E-40B2-A25A-002901F5DBDA}"/>
            </c:ext>
          </c:extLst>
        </c:ser>
        <c:ser>
          <c:idx val="7"/>
          <c:order val="7"/>
          <c:tx>
            <c:strRef>
              <c:f>assumptions!$AS$3</c:f>
              <c:strCache>
                <c:ptCount val="1"/>
                <c:pt idx="0">
                  <c:v>verhy high lrs and high max projects and hybrid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assumptions!$AS$4:$AS$45</c15:sqref>
                  </c15:fullRef>
                </c:ext>
              </c:extLst>
              <c:f>assumptions!$AS$15:$AS$45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1.7824000000000002</c:v>
                </c:pt>
                <c:pt idx="6">
                  <c:v>2.1945999999999999</c:v>
                </c:pt>
                <c:pt idx="7">
                  <c:v>3.1176000000000004</c:v>
                </c:pt>
                <c:pt idx="8">
                  <c:v>4.8340000000000005</c:v>
                </c:pt>
                <c:pt idx="9">
                  <c:v>7.5442000000000009</c:v>
                </c:pt>
                <c:pt idx="10">
                  <c:v>11.026</c:v>
                </c:pt>
                <c:pt idx="11">
                  <c:v>14.668200000000002</c:v>
                </c:pt>
                <c:pt idx="12">
                  <c:v>17.077999999999999</c:v>
                </c:pt>
                <c:pt idx="13">
                  <c:v>19.3856</c:v>
                </c:pt>
                <c:pt idx="14">
                  <c:v>21.5914</c:v>
                </c:pt>
                <c:pt idx="15">
                  <c:v>23.5716</c:v>
                </c:pt>
                <c:pt idx="16">
                  <c:v>25.4434</c:v>
                </c:pt>
                <c:pt idx="17">
                  <c:v>27.209999999999997</c:v>
                </c:pt>
                <c:pt idx="18">
                  <c:v>28.061</c:v>
                </c:pt>
                <c:pt idx="19">
                  <c:v>28.997200000000003</c:v>
                </c:pt>
                <c:pt idx="20">
                  <c:v>29.730599999999999</c:v>
                </c:pt>
                <c:pt idx="21">
                  <c:v>30.3858</c:v>
                </c:pt>
                <c:pt idx="22">
                  <c:v>30.971999999999998</c:v>
                </c:pt>
                <c:pt idx="23">
                  <c:v>31.607800000000005</c:v>
                </c:pt>
                <c:pt idx="24">
                  <c:v>31.882400000000001</c:v>
                </c:pt>
                <c:pt idx="25">
                  <c:v>32.282600000000002</c:v>
                </c:pt>
                <c:pt idx="26">
                  <c:v>32.551000000000002</c:v>
                </c:pt>
                <c:pt idx="27">
                  <c:v>32.752400000000002</c:v>
                </c:pt>
                <c:pt idx="28">
                  <c:v>32.938200000000002</c:v>
                </c:pt>
                <c:pt idx="29">
                  <c:v>33.1708</c:v>
                </c:pt>
                <c:pt idx="30">
                  <c:v>33.279200000000003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1E-40B2-A25A-002901F5DBDA}"/>
            </c:ext>
          </c:extLst>
        </c:ser>
        <c:ser>
          <c:idx val="8"/>
          <c:order val="8"/>
          <c:tx>
            <c:strRef>
              <c:f>assumptions!$AT$3</c:f>
              <c:strCache>
                <c:ptCount val="1"/>
                <c:pt idx="0">
                  <c:v>base_network update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assumptions!$G$4:$G$45</c15:sqref>
                  </c15:fullRef>
                </c:ext>
              </c:extLst>
              <c:f>assumptions!$G$15:$G$45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assumptions!$AT$4:$AT$45</c15:sqref>
                  </c15:fullRef>
                </c:ext>
              </c:extLst>
              <c:f>assumptions!$AT$15:$AT$45</c:f>
              <c:numCache>
                <c:formatCode>0</c:formatCode>
                <c:ptCount val="31"/>
                <c:pt idx="0">
                  <c:v>1.01</c:v>
                </c:pt>
                <c:pt idx="1">
                  <c:v>1.153</c:v>
                </c:pt>
                <c:pt idx="2">
                  <c:v>1.361</c:v>
                </c:pt>
                <c:pt idx="3">
                  <c:v>1.5449999999999999</c:v>
                </c:pt>
                <c:pt idx="4">
                  <c:v>1.671</c:v>
                </c:pt>
                <c:pt idx="5">
                  <c:v>1.7731999999999999</c:v>
                </c:pt>
                <c:pt idx="6">
                  <c:v>1.8877999999999999</c:v>
                </c:pt>
                <c:pt idx="7">
                  <c:v>2.0228000000000002</c:v>
                </c:pt>
                <c:pt idx="8">
                  <c:v>2.2687999999999997</c:v>
                </c:pt>
                <c:pt idx="9">
                  <c:v>2.63</c:v>
                </c:pt>
                <c:pt idx="10">
                  <c:v>2.9432</c:v>
                </c:pt>
                <c:pt idx="11">
                  <c:v>3.2525999999999997</c:v>
                </c:pt>
                <c:pt idx="12">
                  <c:v>3.5653999999999995</c:v>
                </c:pt>
                <c:pt idx="13">
                  <c:v>3.8822000000000001</c:v>
                </c:pt>
                <c:pt idx="14">
                  <c:v>4.2568000000000001</c:v>
                </c:pt>
                <c:pt idx="15">
                  <c:v>4.7114000000000003</c:v>
                </c:pt>
                <c:pt idx="16">
                  <c:v>5.1823999999999995</c:v>
                </c:pt>
                <c:pt idx="17">
                  <c:v>5.6303999999999998</c:v>
                </c:pt>
                <c:pt idx="18">
                  <c:v>6.1044</c:v>
                </c:pt>
                <c:pt idx="19">
                  <c:v>6.5876000000000001</c:v>
                </c:pt>
                <c:pt idx="20">
                  <c:v>7.125</c:v>
                </c:pt>
                <c:pt idx="21">
                  <c:v>7.7673999999999994</c:v>
                </c:pt>
                <c:pt idx="22">
                  <c:v>8.452399999999999</c:v>
                </c:pt>
                <c:pt idx="23">
                  <c:v>9.1761999999999979</c:v>
                </c:pt>
                <c:pt idx="24">
                  <c:v>10.014599999999998</c:v>
                </c:pt>
                <c:pt idx="25">
                  <c:v>10.9254</c:v>
                </c:pt>
                <c:pt idx="26">
                  <c:v>11.946999999999999</c:v>
                </c:pt>
                <c:pt idx="27">
                  <c:v>13.112</c:v>
                </c:pt>
                <c:pt idx="28">
                  <c:v>14.3238</c:v>
                </c:pt>
                <c:pt idx="29">
                  <c:v>15.5298</c:v>
                </c:pt>
                <c:pt idx="30">
                  <c:v>16.776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1E-40B2-A25A-002901F5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245008"/>
        <c:axId val="11462474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assumptions!$AN$3</c15:sqref>
                        </c15:formulaRef>
                      </c:ext>
                    </c:extLst>
                    <c:strCache>
                      <c:ptCount val="1"/>
                      <c:pt idx="0">
                        <c:v>very high ind lr and high col lr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assumptions!$AN$4:$AN$45</c15:sqref>
                        </c15:fullRef>
                        <c15:formulaRef>
                          <c15:sqref>assumptions!$AN$15:$AN$45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1.01</c:v>
                      </c:pt>
                      <c:pt idx="1">
                        <c:v>1.153</c:v>
                      </c:pt>
                      <c:pt idx="2">
                        <c:v>1.361</c:v>
                      </c:pt>
                      <c:pt idx="3">
                        <c:v>1.5449999999999999</c:v>
                      </c:pt>
                      <c:pt idx="4">
                        <c:v>1.671</c:v>
                      </c:pt>
                      <c:pt idx="5">
                        <c:v>1.7744</c:v>
                      </c:pt>
                      <c:pt idx="6">
                        <c:v>2.2302</c:v>
                      </c:pt>
                      <c:pt idx="7">
                        <c:v>2.7342000000000004</c:v>
                      </c:pt>
                      <c:pt idx="8">
                        <c:v>3.2817999999999996</c:v>
                      </c:pt>
                      <c:pt idx="9">
                        <c:v>3.9426000000000001</c:v>
                      </c:pt>
                      <c:pt idx="10">
                        <c:v>4.5468000000000002</c:v>
                      </c:pt>
                      <c:pt idx="11">
                        <c:v>5.0589999999999993</c:v>
                      </c:pt>
                      <c:pt idx="12">
                        <c:v>5.8604000000000003</c:v>
                      </c:pt>
                      <c:pt idx="13">
                        <c:v>6.9334000000000007</c:v>
                      </c:pt>
                      <c:pt idx="14">
                        <c:v>7.9758000000000013</c:v>
                      </c:pt>
                      <c:pt idx="15">
                        <c:v>9.081999999999999</c:v>
                      </c:pt>
                      <c:pt idx="16">
                        <c:v>10.130800000000001</c:v>
                      </c:pt>
                      <c:pt idx="17">
                        <c:v>10.973400000000002</c:v>
                      </c:pt>
                      <c:pt idx="18">
                        <c:v>11.961200000000002</c:v>
                      </c:pt>
                      <c:pt idx="19">
                        <c:v>13.191800000000001</c:v>
                      </c:pt>
                      <c:pt idx="20">
                        <c:v>14.263600000000002</c:v>
                      </c:pt>
                      <c:pt idx="21">
                        <c:v>15.338800000000001</c:v>
                      </c:pt>
                      <c:pt idx="22">
                        <c:v>16.358399999999996</c:v>
                      </c:pt>
                      <c:pt idx="23">
                        <c:v>17.104000000000003</c:v>
                      </c:pt>
                      <c:pt idx="24">
                        <c:v>17.9208</c:v>
                      </c:pt>
                      <c:pt idx="25">
                        <c:v>18.9344</c:v>
                      </c:pt>
                      <c:pt idx="26">
                        <c:v>19.794</c:v>
                      </c:pt>
                      <c:pt idx="27">
                        <c:v>20.695599999999999</c:v>
                      </c:pt>
                      <c:pt idx="28">
                        <c:v>21.523599999999998</c:v>
                      </c:pt>
                      <c:pt idx="29">
                        <c:v>22.105399999999999</c:v>
                      </c:pt>
                      <c:pt idx="30">
                        <c:v>22.777799999999999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81E-40B2-A25A-002901F5DB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assumptions!$AP$3</c15:sqref>
                        </c15:formulaRef>
                      </c:ext>
                    </c:extLst>
                    <c:strCache>
                      <c:ptCount val="1"/>
                      <c:pt idx="0">
                        <c:v>verhy high clr and high ilr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assumptions!$G$4:$G$45</c15:sqref>
                        </c15:fullRef>
                        <c15:formulaRef>
                          <c15:sqref>assumptions!$G$15:$G$45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assumptions!$AP$4:$AP$45</c15:sqref>
                        </c15:fullRef>
                        <c15:formulaRef>
                          <c15:sqref>assumptions!$AP$15:$AP$45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1.01</c:v>
                      </c:pt>
                      <c:pt idx="1">
                        <c:v>1.153</c:v>
                      </c:pt>
                      <c:pt idx="2">
                        <c:v>1.361</c:v>
                      </c:pt>
                      <c:pt idx="3">
                        <c:v>1.5449999999999999</c:v>
                      </c:pt>
                      <c:pt idx="4">
                        <c:v>1.671</c:v>
                      </c:pt>
                      <c:pt idx="5">
                        <c:v>1.7643999999999997</c:v>
                      </c:pt>
                      <c:pt idx="6">
                        <c:v>2.0766</c:v>
                      </c:pt>
                      <c:pt idx="7">
                        <c:v>2.6250000000000004</c:v>
                      </c:pt>
                      <c:pt idx="8">
                        <c:v>3.4222000000000001</c:v>
                      </c:pt>
                      <c:pt idx="9">
                        <c:v>4.4433999999999996</c:v>
                      </c:pt>
                      <c:pt idx="10">
                        <c:v>5.5746000000000002</c:v>
                      </c:pt>
                      <c:pt idx="11">
                        <c:v>6.6676000000000002</c:v>
                      </c:pt>
                      <c:pt idx="12">
                        <c:v>7.6316000000000006</c:v>
                      </c:pt>
                      <c:pt idx="13">
                        <c:v>8.5454000000000008</c:v>
                      </c:pt>
                      <c:pt idx="14">
                        <c:v>9.6176000000000013</c:v>
                      </c:pt>
                      <c:pt idx="15">
                        <c:v>10.8308</c:v>
                      </c:pt>
                      <c:pt idx="16">
                        <c:v>12.116</c:v>
                      </c:pt>
                      <c:pt idx="17">
                        <c:v>13.294</c:v>
                      </c:pt>
                      <c:pt idx="18">
                        <c:v>14.328800000000001</c:v>
                      </c:pt>
                      <c:pt idx="19">
                        <c:v>15.319399999999998</c:v>
                      </c:pt>
                      <c:pt idx="20">
                        <c:v>16.432600000000001</c:v>
                      </c:pt>
                      <c:pt idx="21">
                        <c:v>17.6236</c:v>
                      </c:pt>
                      <c:pt idx="22">
                        <c:v>18.782</c:v>
                      </c:pt>
                      <c:pt idx="23">
                        <c:v>19.731200000000001</c:v>
                      </c:pt>
                      <c:pt idx="24">
                        <c:v>20.487199999999998</c:v>
                      </c:pt>
                      <c:pt idx="25">
                        <c:v>21.212600000000002</c:v>
                      </c:pt>
                      <c:pt idx="26">
                        <c:v>22.049200000000003</c:v>
                      </c:pt>
                      <c:pt idx="27">
                        <c:v>22.909600000000001</c:v>
                      </c:pt>
                      <c:pt idx="28">
                        <c:v>23.724799999999998</c:v>
                      </c:pt>
                      <c:pt idx="29">
                        <c:v>24.383999999999997</c:v>
                      </c:pt>
                      <c:pt idx="30">
                        <c:v>24.921600000000002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81E-40B2-A25A-002901F5DBDA}"/>
                  </c:ext>
                </c:extLst>
              </c15:ser>
            </c15:filteredLineSeries>
          </c:ext>
        </c:extLst>
      </c:lineChart>
      <c:catAx>
        <c:axId val="11462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46247408"/>
        <c:crosses val="autoZero"/>
        <c:auto val="1"/>
        <c:lblAlgn val="ctr"/>
        <c:lblOffset val="100"/>
        <c:noMultiLvlLbl val="0"/>
      </c:catAx>
      <c:valAx>
        <c:axId val="11462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4624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340995</xdr:colOff>
      <xdr:row>4</xdr:row>
      <xdr:rowOff>160020</xdr:rowOff>
    </xdr:from>
    <xdr:to>
      <xdr:col>11</xdr:col>
      <xdr:colOff>152400</xdr:colOff>
      <xdr:row>45</xdr:row>
      <xdr:rowOff>146684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C23856-F7E9-4E77-D2B5-18A5DC13B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160972</xdr:colOff>
      <xdr:row>4</xdr:row>
      <xdr:rowOff>160972</xdr:rowOff>
    </xdr:from>
    <xdr:to>
      <xdr:col>18</xdr:col>
      <xdr:colOff>225742</xdr:colOff>
      <xdr:row>45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294F2-2A64-E4EE-2B13-14DA7EE35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239077</xdr:colOff>
      <xdr:row>4</xdr:row>
      <xdr:rowOff>160972</xdr:rowOff>
    </xdr:from>
    <xdr:to>
      <xdr:col>25</xdr:col>
      <xdr:colOff>543877</xdr:colOff>
      <xdr:row>45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D61487-89E9-6148-739C-6DF3980DE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T45"/>
  <sheetViews>
    <sheetView tabSelected="1" topLeftCell="D4" workbookViewId="0">
      <selection activeCell="AL4" sqref="AL4:AT45"/>
    </sheetView>
  </sheetViews>
  <sheetFormatPr defaultRowHeight="14.4" x14ac:dyDescent="0.3"/>
  <cols>
    <col min="8" max="11" width="9.5546875" bestFit="1" customWidth="1"/>
    <col min="12" max="14" width="9.5546875" customWidth="1"/>
    <col min="15" max="16" width="9.5546875" bestFit="1" customWidth="1"/>
  </cols>
  <sheetData>
    <row r="1" spans="1:46" x14ac:dyDescent="0.3">
      <c r="B1" t="s">
        <v>1</v>
      </c>
      <c r="C1" t="s">
        <v>2</v>
      </c>
      <c r="D1" t="s">
        <v>3</v>
      </c>
      <c r="E1" t="s">
        <v>4</v>
      </c>
      <c r="H1" t="s">
        <v>12</v>
      </c>
      <c r="R1" t="s">
        <v>94</v>
      </c>
      <c r="AB1" t="s">
        <v>96</v>
      </c>
      <c r="AL1" t="s">
        <v>95</v>
      </c>
    </row>
    <row r="2" spans="1:46" x14ac:dyDescent="0.3">
      <c r="A2" t="s">
        <v>5</v>
      </c>
      <c r="B2">
        <v>0.71</v>
      </c>
      <c r="C2">
        <v>0.71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R2">
        <v>1</v>
      </c>
      <c r="S2">
        <v>2</v>
      </c>
      <c r="T2">
        <v>3</v>
      </c>
      <c r="U2">
        <v>4</v>
      </c>
      <c r="V2">
        <v>5</v>
      </c>
      <c r="W2">
        <v>6</v>
      </c>
      <c r="X2">
        <v>7</v>
      </c>
      <c r="Y2">
        <v>8</v>
      </c>
      <c r="Z2">
        <v>9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L2">
        <v>1</v>
      </c>
      <c r="AM2">
        <v>2</v>
      </c>
      <c r="AN2">
        <v>3</v>
      </c>
      <c r="AO2">
        <v>4</v>
      </c>
      <c r="AP2">
        <v>5</v>
      </c>
      <c r="AQ2">
        <v>6</v>
      </c>
      <c r="AR2">
        <v>7</v>
      </c>
      <c r="AS2">
        <v>8</v>
      </c>
      <c r="AT2">
        <v>9</v>
      </c>
    </row>
    <row r="3" spans="1:46" x14ac:dyDescent="0.3">
      <c r="A3" t="s">
        <v>6</v>
      </c>
      <c r="B3">
        <v>0.66</v>
      </c>
      <c r="C3">
        <v>0.66</v>
      </c>
      <c r="G3" t="s">
        <v>0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R3" t="s">
        <v>84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B3" t="s">
        <v>84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90</v>
      </c>
      <c r="AI3" t="s">
        <v>91</v>
      </c>
      <c r="AJ3" t="s">
        <v>92</v>
      </c>
      <c r="AL3" t="s">
        <v>84</v>
      </c>
      <c r="AM3" t="s">
        <v>85</v>
      </c>
      <c r="AN3" t="s">
        <v>86</v>
      </c>
      <c r="AO3" t="s">
        <v>87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</row>
    <row r="4" spans="1:46" x14ac:dyDescent="0.3">
      <c r="A4" t="s">
        <v>7</v>
      </c>
      <c r="B4">
        <v>0.7</v>
      </c>
      <c r="C4">
        <v>0.7</v>
      </c>
      <c r="G4">
        <v>2009</v>
      </c>
      <c r="H4" s="1">
        <f>AVERAGEIF(baseCase_projects!$B$63:$BC$63,assumptions!H$2,baseCase_projects!$B2:$BC2)</f>
        <v>1</v>
      </c>
      <c r="I4" s="1">
        <f>AVERAGEIF(baseCase_projects!$B$63:$BC$63,assumptions!I$2,baseCase_projects!$B2:$BC2)</f>
        <v>1</v>
      </c>
      <c r="J4" s="1">
        <f>AVERAGEIF(baseCase_projects!$B$63:$BC$63,assumptions!J$2,baseCase_projects!$B2:$BC2)</f>
        <v>1</v>
      </c>
      <c r="K4" s="1">
        <f>AVERAGEIF(baseCase_projects!$B$63:$BC$63,assumptions!K$2,baseCase_projects!$B2:$BC2)</f>
        <v>1</v>
      </c>
      <c r="L4" s="1">
        <f>AVERAGEIF(baseCase_projects!$B$63:$BC$63,assumptions!L$2,baseCase_projects!$B2:$BC2)</f>
        <v>1</v>
      </c>
      <c r="M4" s="1">
        <f>AVERAGEIF(baseCase_projects!$B$63:$BC$63,assumptions!M$2,baseCase_projects!$B2:$BC2)</f>
        <v>1</v>
      </c>
      <c r="N4" s="1">
        <f>AVERAGEIF(baseCase_projects!$B$63:$BC$63,assumptions!N$2,baseCase_projects!$B2:$BC2)</f>
        <v>1</v>
      </c>
      <c r="O4" s="1">
        <f>AVERAGEIF(baseCase_projects!$B$63:$BC$63,assumptions!O$2,baseCase_projects!$B2:$BC2)</f>
        <v>1</v>
      </c>
      <c r="P4" s="1">
        <f>AVERAGEIF(baseCase_projects!$B$63:$BC$63,assumptions!P$2,baseCase_projects!$B2:$BC2)</f>
        <v>1</v>
      </c>
      <c r="R4" s="1">
        <f>AVERAGEIF(baseCase_ECs!$B$63:$BC$63,assumptions!R$2,baseCase_ECs!$B2:$BC2)</f>
        <v>20</v>
      </c>
      <c r="S4" s="1">
        <f>AVERAGEIF(baseCase_ECs!$B$63:$BC$63,assumptions!S$2,baseCase_ECs!$B2:$BC2)</f>
        <v>20</v>
      </c>
      <c r="T4" s="1">
        <f>AVERAGEIF(baseCase_ECs!$B$63:$BC$63,assumptions!T$2,baseCase_ECs!$B2:$BC2)</f>
        <v>20</v>
      </c>
      <c r="U4" s="1">
        <f>AVERAGEIF(baseCase_ECs!$B$63:$BC$63,assumptions!U$2,baseCase_ECs!$B2:$BC2)</f>
        <v>20</v>
      </c>
      <c r="V4" s="1">
        <f>AVERAGEIF(baseCase_ECs!$B$63:$BC$63,assumptions!V$2,baseCase_ECs!$B2:$BC2)</f>
        <v>20</v>
      </c>
      <c r="W4" s="1">
        <f>AVERAGEIF(baseCase_ECs!$B$63:$BC$63,assumptions!W$2,baseCase_ECs!$B2:$BC2)</f>
        <v>20</v>
      </c>
      <c r="X4" s="1">
        <f>AVERAGEIF(baseCase_ECs!$B$63:$BC$63,assumptions!X$2,baseCase_ECs!$B2:$BC2)</f>
        <v>20</v>
      </c>
      <c r="Y4" s="1">
        <f>AVERAGEIF(baseCase_ECs!$B$63:$BC$63,assumptions!Y$2,baseCase_ECs!$B2:$BC2)</f>
        <v>20</v>
      </c>
      <c r="Z4" s="1">
        <f>AVERAGEIF(baseCase_ECs!$B$63:$BC$63,assumptions!Z$2,baseCase_ECs!$B2:$BC2)</f>
        <v>20</v>
      </c>
      <c r="AB4" s="1">
        <f>AVERAGEIF(baseCase_installedCap!$B$63:$BC$63,assumptions!AB$2,baseCase_installedCap!$B2:$BC2)</f>
        <v>447</v>
      </c>
      <c r="AC4" s="1">
        <f>AVERAGEIF(baseCase_installedCap!$B$63:$BC$63,assumptions!AC$2,baseCase_installedCap!$B2:$BC2)</f>
        <v>447</v>
      </c>
      <c r="AD4" s="1">
        <f>AVERAGEIF(baseCase_installedCap!$B$63:$BC$63,assumptions!AD$2,baseCase_installedCap!$B2:$BC2)</f>
        <v>447</v>
      </c>
      <c r="AE4" s="1">
        <f>AVERAGEIF(baseCase_installedCap!$B$63:$BC$63,assumptions!AE$2,baseCase_installedCap!$B2:$BC2)</f>
        <v>447</v>
      </c>
      <c r="AF4" s="1">
        <f>AVERAGEIF(baseCase_installedCap!$B$63:$BC$63,assumptions!AF$2,baseCase_installedCap!$B2:$BC2)</f>
        <v>447</v>
      </c>
      <c r="AG4" s="1">
        <f>AVERAGEIF(baseCase_installedCap!$B$63:$BC$63,assumptions!AG$2,baseCase_installedCap!$B2:$BC2)</f>
        <v>447</v>
      </c>
      <c r="AH4" s="1">
        <f>AVERAGEIF(baseCase_installedCap!$B$63:$BC$63,assumptions!AH$2,baseCase_installedCap!$B2:$BC2)</f>
        <v>447</v>
      </c>
      <c r="AI4" s="1">
        <f>AVERAGEIF(baseCase_installedCap!$B$63:$BC$63,assumptions!AI$2,baseCase_installedCap!$B2:$BC2)</f>
        <v>447</v>
      </c>
      <c r="AJ4" s="1">
        <f>AVERAGEIF(baseCase_installedCap!$B$63:$BC$63,assumptions!AJ$2,baseCase_installedCap!$B2:$BC2)</f>
        <v>447</v>
      </c>
      <c r="AL4" s="1">
        <f>AVERAGEIF(baseCase_percMembers!$B$63:$BC$63,assumptions!AL$2,baseCase_percMembers!$B2:$BC2)</f>
        <v>2E-3</v>
      </c>
      <c r="AM4" s="1">
        <f>AVERAGEIF(baseCase_percMembers!$B$63:$BC$63,assumptions!AM$2,baseCase_percMembers!$B2:$BC2)</f>
        <v>2E-3</v>
      </c>
      <c r="AN4" s="1">
        <f>AVERAGEIF(baseCase_percMembers!$B$63:$BC$63,assumptions!AN$2,baseCase_percMembers!$B2:$BC2)</f>
        <v>2E-3</v>
      </c>
      <c r="AO4" s="1">
        <f>AVERAGEIF(baseCase_percMembers!$B$63:$BC$63,assumptions!AO$2,baseCase_percMembers!$B2:$BC2)</f>
        <v>2E-3</v>
      </c>
      <c r="AP4" s="1">
        <f>AVERAGEIF(baseCase_percMembers!$B$63:$BC$63,assumptions!AP$2,baseCase_percMembers!$B2:$BC2)</f>
        <v>2E-3</v>
      </c>
      <c r="AQ4" s="1">
        <f>AVERAGEIF(baseCase_percMembers!$B$63:$BC$63,assumptions!AQ$2,baseCase_percMembers!$B2:$BC2)</f>
        <v>2E-3</v>
      </c>
      <c r="AR4" s="1">
        <f>AVERAGEIF(baseCase_percMembers!$B$63:$BC$63,assumptions!AR$2,baseCase_percMembers!$B2:$BC2)</f>
        <v>2E-3</v>
      </c>
      <c r="AS4" s="1">
        <f>AVERAGEIF(baseCase_percMembers!$B$63:$BC$63,assumptions!AS$2,baseCase_percMembers!$B2:$BC2)</f>
        <v>2E-3</v>
      </c>
      <c r="AT4" s="1">
        <f>AVERAGEIF(baseCase_percMembers!$B$63:$BC$63,assumptions!AT$2,baseCase_percMembers!$B2:$BC2)</f>
        <v>2E-3</v>
      </c>
    </row>
    <row r="5" spans="1:46" x14ac:dyDescent="0.3">
      <c r="A5" t="s">
        <v>8</v>
      </c>
      <c r="B5">
        <v>0.01</v>
      </c>
      <c r="C5">
        <v>1E-3</v>
      </c>
      <c r="G5">
        <v>2010</v>
      </c>
      <c r="H5" s="1">
        <f>AVERAGEIF(baseCase_projects!$B$63:$BC$63,assumptions!H$2,baseCase_projects!$B3:$BC3)</f>
        <v>1</v>
      </c>
      <c r="I5" s="1">
        <f>AVERAGEIF(baseCase_projects!$B$63:$BC$63,assumptions!I$2,baseCase_projects!$B3:$BC3)</f>
        <v>1</v>
      </c>
      <c r="J5" s="1">
        <f>AVERAGEIF(baseCase_projects!$B$63:$BC$63,assumptions!J$2,baseCase_projects!$B3:$BC3)</f>
        <v>1</v>
      </c>
      <c r="K5" s="1">
        <f>AVERAGEIF(baseCase_projects!$B$63:$BC$63,assumptions!K$2,baseCase_projects!$B3:$BC3)</f>
        <v>1</v>
      </c>
      <c r="L5" s="1">
        <f>AVERAGEIF(baseCase_projects!$B$63:$BC$63,assumptions!L$2,baseCase_projects!$B3:$BC3)</f>
        <v>1</v>
      </c>
      <c r="M5" s="1">
        <f>AVERAGEIF(baseCase_projects!$B$63:$BC$63,assumptions!M$2,baseCase_projects!$B3:$BC3)</f>
        <v>1</v>
      </c>
      <c r="N5" s="1">
        <f>AVERAGEIF(baseCase_projects!$B$63:$BC$63,assumptions!N$2,baseCase_projects!$B3:$BC3)</f>
        <v>1</v>
      </c>
      <c r="O5" s="1">
        <f>AVERAGEIF(baseCase_projects!$B$63:$BC$63,assumptions!O$2,baseCase_projects!$B3:$BC3)</f>
        <v>1</v>
      </c>
      <c r="P5" s="1">
        <f>AVERAGEIF(baseCase_projects!$B$63:$BC$63,assumptions!P$2,baseCase_projects!$B3:$BC3)</f>
        <v>1</v>
      </c>
      <c r="R5" s="1">
        <f>AVERAGEIF(baseCase_ECs!$B$63:$BC$63,assumptions!R$2,baseCase_ECs!$B3:$BC3)</f>
        <v>26</v>
      </c>
      <c r="S5" s="1">
        <f>AVERAGEIF(baseCase_ECs!$B$63:$BC$63,assumptions!S$2,baseCase_ECs!$B3:$BC3)</f>
        <v>26</v>
      </c>
      <c r="T5" s="1">
        <f>AVERAGEIF(baseCase_ECs!$B$63:$BC$63,assumptions!T$2,baseCase_ECs!$B3:$BC3)</f>
        <v>26</v>
      </c>
      <c r="U5" s="1">
        <f>AVERAGEIF(baseCase_ECs!$B$63:$BC$63,assumptions!U$2,baseCase_ECs!$B3:$BC3)</f>
        <v>26</v>
      </c>
      <c r="V5" s="1">
        <f>AVERAGEIF(baseCase_ECs!$B$63:$BC$63,assumptions!V$2,baseCase_ECs!$B3:$BC3)</f>
        <v>26</v>
      </c>
      <c r="W5" s="1">
        <f>AVERAGEIF(baseCase_ECs!$B$63:$BC$63,assumptions!W$2,baseCase_ECs!$B3:$BC3)</f>
        <v>26</v>
      </c>
      <c r="X5" s="1">
        <f>AVERAGEIF(baseCase_ECs!$B$63:$BC$63,assumptions!X$2,baseCase_ECs!$B3:$BC3)</f>
        <v>26</v>
      </c>
      <c r="Y5" s="1">
        <f>AVERAGEIF(baseCase_ECs!$B$63:$BC$63,assumptions!Y$2,baseCase_ECs!$B3:$BC3)</f>
        <v>26</v>
      </c>
      <c r="Z5" s="1">
        <f>AVERAGEIF(baseCase_ECs!$B$63:$BC$63,assumptions!Z$2,baseCase_ECs!$B3:$BC3)</f>
        <v>26</v>
      </c>
      <c r="AB5" s="1">
        <f>AVERAGEIF(baseCase_installedCap!$B$63:$BC$63,assumptions!AB$2,baseCase_installedCap!$B3:$BC3)</f>
        <v>447</v>
      </c>
      <c r="AC5" s="1">
        <f>AVERAGEIF(baseCase_installedCap!$B$63:$BC$63,assumptions!AC$2,baseCase_installedCap!$B3:$BC3)</f>
        <v>447</v>
      </c>
      <c r="AD5" s="1">
        <f>AVERAGEIF(baseCase_installedCap!$B$63:$BC$63,assumptions!AD$2,baseCase_installedCap!$B3:$BC3)</f>
        <v>447</v>
      </c>
      <c r="AE5" s="1">
        <f>AVERAGEIF(baseCase_installedCap!$B$63:$BC$63,assumptions!AE$2,baseCase_installedCap!$B3:$BC3)</f>
        <v>447</v>
      </c>
      <c r="AF5" s="1">
        <f>AVERAGEIF(baseCase_installedCap!$B$63:$BC$63,assumptions!AF$2,baseCase_installedCap!$B3:$BC3)</f>
        <v>447</v>
      </c>
      <c r="AG5" s="1">
        <f>AVERAGEIF(baseCase_installedCap!$B$63:$BC$63,assumptions!AG$2,baseCase_installedCap!$B3:$BC3)</f>
        <v>447</v>
      </c>
      <c r="AH5" s="1">
        <f>AVERAGEIF(baseCase_installedCap!$B$63:$BC$63,assumptions!AH$2,baseCase_installedCap!$B3:$BC3)</f>
        <v>447</v>
      </c>
      <c r="AI5" s="1">
        <f>AVERAGEIF(baseCase_installedCap!$B$63:$BC$63,assumptions!AI$2,baseCase_installedCap!$B3:$BC3)</f>
        <v>447</v>
      </c>
      <c r="AJ5" s="1">
        <f>AVERAGEIF(baseCase_installedCap!$B$63:$BC$63,assumptions!AJ$2,baseCase_installedCap!$B3:$BC3)</f>
        <v>447</v>
      </c>
      <c r="AL5" s="1">
        <f>AVERAGEIF(baseCase_percMembers!$B$63:$BC$63,assumptions!AL$2,baseCase_percMembers!$B3:$BC3)</f>
        <v>3.0000000000000001E-3</v>
      </c>
      <c r="AM5" s="1">
        <f>AVERAGEIF(baseCase_percMembers!$B$63:$BC$63,assumptions!AM$2,baseCase_percMembers!$B3:$BC3)</f>
        <v>3.0000000000000001E-3</v>
      </c>
      <c r="AN5" s="1">
        <f>AVERAGEIF(baseCase_percMembers!$B$63:$BC$63,assumptions!AN$2,baseCase_percMembers!$B3:$BC3)</f>
        <v>3.0000000000000001E-3</v>
      </c>
      <c r="AO5" s="1">
        <f>AVERAGEIF(baseCase_percMembers!$B$63:$BC$63,assumptions!AO$2,baseCase_percMembers!$B3:$BC3)</f>
        <v>3.0000000000000001E-3</v>
      </c>
      <c r="AP5" s="1">
        <f>AVERAGEIF(baseCase_percMembers!$B$63:$BC$63,assumptions!AP$2,baseCase_percMembers!$B3:$BC3)</f>
        <v>3.0000000000000001E-3</v>
      </c>
      <c r="AQ5" s="1">
        <f>AVERAGEIF(baseCase_percMembers!$B$63:$BC$63,assumptions!AQ$2,baseCase_percMembers!$B3:$BC3)</f>
        <v>3.0000000000000001E-3</v>
      </c>
      <c r="AR5" s="1">
        <f>AVERAGEIF(baseCase_percMembers!$B$63:$BC$63,assumptions!AR$2,baseCase_percMembers!$B3:$BC3)</f>
        <v>3.0000000000000001E-3</v>
      </c>
      <c r="AS5" s="1">
        <f>AVERAGEIF(baseCase_percMembers!$B$63:$BC$63,assumptions!AS$2,baseCase_percMembers!$B3:$BC3)</f>
        <v>3.0000000000000001E-3</v>
      </c>
      <c r="AT5" s="1">
        <f>AVERAGEIF(baseCase_percMembers!$B$63:$BC$63,assumptions!AT$2,baseCase_percMembers!$B3:$BC3)</f>
        <v>3.0000000000000001E-3</v>
      </c>
    </row>
    <row r="6" spans="1:46" x14ac:dyDescent="0.3">
      <c r="A6" t="s">
        <v>9</v>
      </c>
      <c r="B6">
        <v>2.5000000000000001E-2</v>
      </c>
      <c r="C6">
        <v>0.05</v>
      </c>
      <c r="G6">
        <v>2011</v>
      </c>
      <c r="H6" s="1">
        <f>AVERAGEIF(baseCase_projects!$B$63:$BC$63,assumptions!H$2,baseCase_projects!$B4:$BC4)</f>
        <v>46</v>
      </c>
      <c r="I6" s="1">
        <f>AVERAGEIF(baseCase_projects!$B$63:$BC$63,assumptions!I$2,baseCase_projects!$B4:$BC4)</f>
        <v>46</v>
      </c>
      <c r="J6" s="1">
        <f>AVERAGEIF(baseCase_projects!$B$63:$BC$63,assumptions!J$2,baseCase_projects!$B4:$BC4)</f>
        <v>46</v>
      </c>
      <c r="K6" s="1">
        <f>AVERAGEIF(baseCase_projects!$B$63:$BC$63,assumptions!K$2,baseCase_projects!$B4:$BC4)</f>
        <v>46</v>
      </c>
      <c r="L6" s="1">
        <f>AVERAGEIF(baseCase_projects!$B$63:$BC$63,assumptions!L$2,baseCase_projects!$B4:$BC4)</f>
        <v>46</v>
      </c>
      <c r="M6" s="1">
        <f>AVERAGEIF(baseCase_projects!$B$63:$BC$63,assumptions!M$2,baseCase_projects!$B4:$BC4)</f>
        <v>46</v>
      </c>
      <c r="N6" s="1">
        <f>AVERAGEIF(baseCase_projects!$B$63:$BC$63,assumptions!N$2,baseCase_projects!$B4:$BC4)</f>
        <v>46</v>
      </c>
      <c r="O6" s="1">
        <f>AVERAGEIF(baseCase_projects!$B$63:$BC$63,assumptions!O$2,baseCase_projects!$B4:$BC4)</f>
        <v>46</v>
      </c>
      <c r="P6" s="1">
        <f>AVERAGEIF(baseCase_projects!$B$63:$BC$63,assumptions!P$2,baseCase_projects!$B4:$BC4)</f>
        <v>46</v>
      </c>
      <c r="R6" s="1">
        <f>AVERAGEIF(baseCase_ECs!$B$63:$BC$63,assumptions!R$2,baseCase_ECs!$B4:$BC4)</f>
        <v>39</v>
      </c>
      <c r="S6" s="1">
        <f>AVERAGEIF(baseCase_ECs!$B$63:$BC$63,assumptions!S$2,baseCase_ECs!$B4:$BC4)</f>
        <v>39</v>
      </c>
      <c r="T6" s="1">
        <f>AVERAGEIF(baseCase_ECs!$B$63:$BC$63,assumptions!T$2,baseCase_ECs!$B4:$BC4)</f>
        <v>39</v>
      </c>
      <c r="U6" s="1">
        <f>AVERAGEIF(baseCase_ECs!$B$63:$BC$63,assumptions!U$2,baseCase_ECs!$B4:$BC4)</f>
        <v>39</v>
      </c>
      <c r="V6" s="1">
        <f>AVERAGEIF(baseCase_ECs!$B$63:$BC$63,assumptions!V$2,baseCase_ECs!$B4:$BC4)</f>
        <v>39</v>
      </c>
      <c r="W6" s="1">
        <f>AVERAGEIF(baseCase_ECs!$B$63:$BC$63,assumptions!W$2,baseCase_ECs!$B4:$BC4)</f>
        <v>39</v>
      </c>
      <c r="X6" s="1">
        <f>AVERAGEIF(baseCase_ECs!$B$63:$BC$63,assumptions!X$2,baseCase_ECs!$B4:$BC4)</f>
        <v>39</v>
      </c>
      <c r="Y6" s="1">
        <f>AVERAGEIF(baseCase_ECs!$B$63:$BC$63,assumptions!Y$2,baseCase_ECs!$B4:$BC4)</f>
        <v>39</v>
      </c>
      <c r="Z6" s="1">
        <f>AVERAGEIF(baseCase_ECs!$B$63:$BC$63,assumptions!Z$2,baseCase_ECs!$B4:$BC4)</f>
        <v>39</v>
      </c>
      <c r="AB6" s="1">
        <f>AVERAGEIF(baseCase_installedCap!$B$63:$BC$63,assumptions!AB$2,baseCase_installedCap!$B4:$BC4)</f>
        <v>20562</v>
      </c>
      <c r="AC6" s="1">
        <f>AVERAGEIF(baseCase_installedCap!$B$63:$BC$63,assumptions!AC$2,baseCase_installedCap!$B4:$BC4)</f>
        <v>20562</v>
      </c>
      <c r="AD6" s="1">
        <f>AVERAGEIF(baseCase_installedCap!$B$63:$BC$63,assumptions!AD$2,baseCase_installedCap!$B4:$BC4)</f>
        <v>20562</v>
      </c>
      <c r="AE6" s="1">
        <f>AVERAGEIF(baseCase_installedCap!$B$63:$BC$63,assumptions!AE$2,baseCase_installedCap!$B4:$BC4)</f>
        <v>20562</v>
      </c>
      <c r="AF6" s="1">
        <f>AVERAGEIF(baseCase_installedCap!$B$63:$BC$63,assumptions!AF$2,baseCase_installedCap!$B4:$BC4)</f>
        <v>20562</v>
      </c>
      <c r="AG6" s="1">
        <f>AVERAGEIF(baseCase_installedCap!$B$63:$BC$63,assumptions!AG$2,baseCase_installedCap!$B4:$BC4)</f>
        <v>20562</v>
      </c>
      <c r="AH6" s="1">
        <f>AVERAGEIF(baseCase_installedCap!$B$63:$BC$63,assumptions!AH$2,baseCase_installedCap!$B4:$BC4)</f>
        <v>20562</v>
      </c>
      <c r="AI6" s="1">
        <f>AVERAGEIF(baseCase_installedCap!$B$63:$BC$63,assumptions!AI$2,baseCase_installedCap!$B4:$BC4)</f>
        <v>20562</v>
      </c>
      <c r="AJ6" s="1">
        <f>AVERAGEIF(baseCase_installedCap!$B$63:$BC$63,assumptions!AJ$2,baseCase_installedCap!$B4:$BC4)</f>
        <v>20562</v>
      </c>
      <c r="AL6" s="1">
        <f>AVERAGEIF(baseCase_percMembers!$B$63:$BC$63,assumptions!AL$2,baseCase_percMembers!$B4:$BC4)</f>
        <v>5.2000000000000005E-2</v>
      </c>
      <c r="AM6" s="1">
        <f>AVERAGEIF(baseCase_percMembers!$B$63:$BC$63,assumptions!AM$2,baseCase_percMembers!$B4:$BC4)</f>
        <v>5.2000000000000005E-2</v>
      </c>
      <c r="AN6" s="1">
        <f>AVERAGEIF(baseCase_percMembers!$B$63:$BC$63,assumptions!AN$2,baseCase_percMembers!$B4:$BC4)</f>
        <v>5.2000000000000005E-2</v>
      </c>
      <c r="AO6" s="1">
        <f>AVERAGEIF(baseCase_percMembers!$B$63:$BC$63,assumptions!AO$2,baseCase_percMembers!$B4:$BC4)</f>
        <v>5.2000000000000005E-2</v>
      </c>
      <c r="AP6" s="1">
        <f>AVERAGEIF(baseCase_percMembers!$B$63:$BC$63,assumptions!AP$2,baseCase_percMembers!$B4:$BC4)</f>
        <v>5.2000000000000005E-2</v>
      </c>
      <c r="AQ6" s="1">
        <f>AVERAGEIF(baseCase_percMembers!$B$63:$BC$63,assumptions!AQ$2,baseCase_percMembers!$B4:$BC4)</f>
        <v>5.2000000000000005E-2</v>
      </c>
      <c r="AR6" s="1">
        <f>AVERAGEIF(baseCase_percMembers!$B$63:$BC$63,assumptions!AR$2,baseCase_percMembers!$B4:$BC4)</f>
        <v>5.2000000000000005E-2</v>
      </c>
      <c r="AS6" s="1">
        <f>AVERAGEIF(baseCase_percMembers!$B$63:$BC$63,assumptions!AS$2,baseCase_percMembers!$B4:$BC4)</f>
        <v>5.2000000000000005E-2</v>
      </c>
      <c r="AT6" s="1">
        <f>AVERAGEIF(baseCase_percMembers!$B$63:$BC$63,assumptions!AT$2,baseCase_percMembers!$B4:$BC4)</f>
        <v>5.2000000000000005E-2</v>
      </c>
    </row>
    <row r="7" spans="1:46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2012</v>
      </c>
      <c r="H7" s="1">
        <f>AVERAGEIF(baseCase_projects!$B$63:$BC$63,assumptions!H$2,baseCase_projects!$B5:$BC5)</f>
        <v>53</v>
      </c>
      <c r="I7" s="1">
        <f>AVERAGEIF(baseCase_projects!$B$63:$BC$63,assumptions!I$2,baseCase_projects!$B5:$BC5)</f>
        <v>53</v>
      </c>
      <c r="J7" s="1">
        <f>AVERAGEIF(baseCase_projects!$B$63:$BC$63,assumptions!J$2,baseCase_projects!$B5:$BC5)</f>
        <v>53</v>
      </c>
      <c r="K7" s="1">
        <f>AVERAGEIF(baseCase_projects!$B$63:$BC$63,assumptions!K$2,baseCase_projects!$B5:$BC5)</f>
        <v>53</v>
      </c>
      <c r="L7" s="1">
        <f>AVERAGEIF(baseCase_projects!$B$63:$BC$63,assumptions!L$2,baseCase_projects!$B5:$BC5)</f>
        <v>53</v>
      </c>
      <c r="M7" s="1">
        <f>AVERAGEIF(baseCase_projects!$B$63:$BC$63,assumptions!M$2,baseCase_projects!$B5:$BC5)</f>
        <v>53</v>
      </c>
      <c r="N7" s="1">
        <f>AVERAGEIF(baseCase_projects!$B$63:$BC$63,assumptions!N$2,baseCase_projects!$B5:$BC5)</f>
        <v>53</v>
      </c>
      <c r="O7" s="1">
        <f>AVERAGEIF(baseCase_projects!$B$63:$BC$63,assumptions!O$2,baseCase_projects!$B5:$BC5)</f>
        <v>53</v>
      </c>
      <c r="P7" s="1">
        <f>AVERAGEIF(baseCase_projects!$B$63:$BC$63,assumptions!P$2,baseCase_projects!$B5:$BC5)</f>
        <v>53</v>
      </c>
      <c r="R7" s="1">
        <f>AVERAGEIF(baseCase_ECs!$B$63:$BC$63,assumptions!R$2,baseCase_ECs!$B5:$BC5)</f>
        <v>65</v>
      </c>
      <c r="S7" s="1">
        <f>AVERAGEIF(baseCase_ECs!$B$63:$BC$63,assumptions!S$2,baseCase_ECs!$B5:$BC5)</f>
        <v>65</v>
      </c>
      <c r="T7" s="1">
        <f>AVERAGEIF(baseCase_ECs!$B$63:$BC$63,assumptions!T$2,baseCase_ECs!$B5:$BC5)</f>
        <v>65</v>
      </c>
      <c r="U7" s="1">
        <f>AVERAGEIF(baseCase_ECs!$B$63:$BC$63,assumptions!U$2,baseCase_ECs!$B5:$BC5)</f>
        <v>65</v>
      </c>
      <c r="V7" s="1">
        <f>AVERAGEIF(baseCase_ECs!$B$63:$BC$63,assumptions!V$2,baseCase_ECs!$B5:$BC5)</f>
        <v>65</v>
      </c>
      <c r="W7" s="1">
        <f>AVERAGEIF(baseCase_ECs!$B$63:$BC$63,assumptions!W$2,baseCase_ECs!$B5:$BC5)</f>
        <v>65</v>
      </c>
      <c r="X7" s="1">
        <f>AVERAGEIF(baseCase_ECs!$B$63:$BC$63,assumptions!X$2,baseCase_ECs!$B5:$BC5)</f>
        <v>65</v>
      </c>
      <c r="Y7" s="1">
        <f>AVERAGEIF(baseCase_ECs!$B$63:$BC$63,assumptions!Y$2,baseCase_ECs!$B5:$BC5)</f>
        <v>65</v>
      </c>
      <c r="Z7" s="1">
        <f>AVERAGEIF(baseCase_ECs!$B$63:$BC$63,assumptions!Z$2,baseCase_ECs!$B5:$BC5)</f>
        <v>65</v>
      </c>
      <c r="AB7" s="1">
        <f>AVERAGEIF(baseCase_installedCap!$B$63:$BC$63,assumptions!AB$2,baseCase_installedCap!$B5:$BC5)</f>
        <v>23691</v>
      </c>
      <c r="AC7" s="1">
        <f>AVERAGEIF(baseCase_installedCap!$B$63:$BC$63,assumptions!AC$2,baseCase_installedCap!$B5:$BC5)</f>
        <v>23691</v>
      </c>
      <c r="AD7" s="1">
        <f>AVERAGEIF(baseCase_installedCap!$B$63:$BC$63,assumptions!AD$2,baseCase_installedCap!$B5:$BC5)</f>
        <v>23691</v>
      </c>
      <c r="AE7" s="1">
        <f>AVERAGEIF(baseCase_installedCap!$B$63:$BC$63,assumptions!AE$2,baseCase_installedCap!$B5:$BC5)</f>
        <v>23691</v>
      </c>
      <c r="AF7" s="1">
        <f>AVERAGEIF(baseCase_installedCap!$B$63:$BC$63,assumptions!AF$2,baseCase_installedCap!$B5:$BC5)</f>
        <v>23691</v>
      </c>
      <c r="AG7" s="1">
        <f>AVERAGEIF(baseCase_installedCap!$B$63:$BC$63,assumptions!AG$2,baseCase_installedCap!$B5:$BC5)</f>
        <v>23691</v>
      </c>
      <c r="AH7" s="1">
        <f>AVERAGEIF(baseCase_installedCap!$B$63:$BC$63,assumptions!AH$2,baseCase_installedCap!$B5:$BC5)</f>
        <v>23691</v>
      </c>
      <c r="AI7" s="1">
        <f>AVERAGEIF(baseCase_installedCap!$B$63:$BC$63,assumptions!AI$2,baseCase_installedCap!$B5:$BC5)</f>
        <v>23691</v>
      </c>
      <c r="AJ7" s="1">
        <f>AVERAGEIF(baseCase_installedCap!$B$63:$BC$63,assumptions!AJ$2,baseCase_installedCap!$B5:$BC5)</f>
        <v>23691</v>
      </c>
      <c r="AL7" s="1">
        <f>AVERAGEIF(baseCase_percMembers!$B$63:$BC$63,assumptions!AL$2,baseCase_percMembers!$B5:$BC5)</f>
        <v>6.0999999999999999E-2</v>
      </c>
      <c r="AM7" s="1">
        <f>AVERAGEIF(baseCase_percMembers!$B$63:$BC$63,assumptions!AM$2,baseCase_percMembers!$B5:$BC5)</f>
        <v>6.0999999999999999E-2</v>
      </c>
      <c r="AN7" s="1">
        <f>AVERAGEIF(baseCase_percMembers!$B$63:$BC$63,assumptions!AN$2,baseCase_percMembers!$B5:$BC5)</f>
        <v>6.0999999999999999E-2</v>
      </c>
      <c r="AO7" s="1">
        <f>AVERAGEIF(baseCase_percMembers!$B$63:$BC$63,assumptions!AO$2,baseCase_percMembers!$B5:$BC5)</f>
        <v>6.0999999999999999E-2</v>
      </c>
      <c r="AP7" s="1">
        <f>AVERAGEIF(baseCase_percMembers!$B$63:$BC$63,assumptions!AP$2,baseCase_percMembers!$B5:$BC5)</f>
        <v>6.0999999999999999E-2</v>
      </c>
      <c r="AQ7" s="1">
        <f>AVERAGEIF(baseCase_percMembers!$B$63:$BC$63,assumptions!AQ$2,baseCase_percMembers!$B5:$BC5)</f>
        <v>6.0999999999999999E-2</v>
      </c>
      <c r="AR7" s="1">
        <f>AVERAGEIF(baseCase_percMembers!$B$63:$BC$63,assumptions!AR$2,baseCase_percMembers!$B5:$BC5)</f>
        <v>6.0999999999999999E-2</v>
      </c>
      <c r="AS7" s="1">
        <f>AVERAGEIF(baseCase_percMembers!$B$63:$BC$63,assumptions!AS$2,baseCase_percMembers!$B5:$BC5)</f>
        <v>6.0999999999999999E-2</v>
      </c>
      <c r="AT7" s="1">
        <f>AVERAGEIF(baseCase_percMembers!$B$63:$BC$63,assumptions!AT$2,baseCase_percMembers!$B5:$BC5)</f>
        <v>6.0999999999999999E-2</v>
      </c>
    </row>
    <row r="8" spans="1:46" x14ac:dyDescent="0.3">
      <c r="G8">
        <v>2013</v>
      </c>
      <c r="H8" s="1">
        <f>AVERAGEIF(baseCase_projects!$B$63:$BC$63,assumptions!H$2,baseCase_projects!$B6:$BC6)</f>
        <v>72</v>
      </c>
      <c r="I8" s="1">
        <f>AVERAGEIF(baseCase_projects!$B$63:$BC$63,assumptions!I$2,baseCase_projects!$B6:$BC6)</f>
        <v>72</v>
      </c>
      <c r="J8" s="1">
        <f>AVERAGEIF(baseCase_projects!$B$63:$BC$63,assumptions!J$2,baseCase_projects!$B6:$BC6)</f>
        <v>72</v>
      </c>
      <c r="K8" s="1">
        <f>AVERAGEIF(baseCase_projects!$B$63:$BC$63,assumptions!K$2,baseCase_projects!$B6:$BC6)</f>
        <v>72</v>
      </c>
      <c r="L8" s="1">
        <f>AVERAGEIF(baseCase_projects!$B$63:$BC$63,assumptions!L$2,baseCase_projects!$B6:$BC6)</f>
        <v>72</v>
      </c>
      <c r="M8" s="1">
        <f>AVERAGEIF(baseCase_projects!$B$63:$BC$63,assumptions!M$2,baseCase_projects!$B6:$BC6)</f>
        <v>72</v>
      </c>
      <c r="N8" s="1">
        <f>AVERAGEIF(baseCase_projects!$B$63:$BC$63,assumptions!N$2,baseCase_projects!$B6:$BC6)</f>
        <v>72</v>
      </c>
      <c r="O8" s="1">
        <f>AVERAGEIF(baseCase_projects!$B$63:$BC$63,assumptions!O$2,baseCase_projects!$B6:$BC6)</f>
        <v>72</v>
      </c>
      <c r="P8" s="1">
        <f>AVERAGEIF(baseCase_projects!$B$63:$BC$63,assumptions!P$2,baseCase_projects!$B6:$BC6)</f>
        <v>72</v>
      </c>
      <c r="R8" s="1">
        <f>AVERAGEIF(baseCase_ECs!$B$63:$BC$63,assumptions!R$2,baseCase_ECs!$B6:$BC6)</f>
        <v>123</v>
      </c>
      <c r="S8" s="1">
        <f>AVERAGEIF(baseCase_ECs!$B$63:$BC$63,assumptions!S$2,baseCase_ECs!$B6:$BC6)</f>
        <v>123</v>
      </c>
      <c r="T8" s="1">
        <f>AVERAGEIF(baseCase_ECs!$B$63:$BC$63,assumptions!T$2,baseCase_ECs!$B6:$BC6)</f>
        <v>123</v>
      </c>
      <c r="U8" s="1">
        <f>AVERAGEIF(baseCase_ECs!$B$63:$BC$63,assumptions!U$2,baseCase_ECs!$B6:$BC6)</f>
        <v>123</v>
      </c>
      <c r="V8" s="1">
        <f>AVERAGEIF(baseCase_ECs!$B$63:$BC$63,assumptions!V$2,baseCase_ECs!$B6:$BC6)</f>
        <v>123</v>
      </c>
      <c r="W8" s="1">
        <f>AVERAGEIF(baseCase_ECs!$B$63:$BC$63,assumptions!W$2,baseCase_ECs!$B6:$BC6)</f>
        <v>123</v>
      </c>
      <c r="X8" s="1">
        <f>AVERAGEIF(baseCase_ECs!$B$63:$BC$63,assumptions!X$2,baseCase_ECs!$B6:$BC6)</f>
        <v>123</v>
      </c>
      <c r="Y8" s="1">
        <f>AVERAGEIF(baseCase_ECs!$B$63:$BC$63,assumptions!Y$2,baseCase_ECs!$B6:$BC6)</f>
        <v>123</v>
      </c>
      <c r="Z8" s="1">
        <f>AVERAGEIF(baseCase_ECs!$B$63:$BC$63,assumptions!Z$2,baseCase_ECs!$B6:$BC6)</f>
        <v>123</v>
      </c>
      <c r="AB8" s="1">
        <f>AVERAGEIF(baseCase_installedCap!$B$63:$BC$63,assumptions!AB$2,baseCase_installedCap!$B6:$BC6)</f>
        <v>32184</v>
      </c>
      <c r="AC8" s="1">
        <f>AVERAGEIF(baseCase_installedCap!$B$63:$BC$63,assumptions!AC$2,baseCase_installedCap!$B6:$BC6)</f>
        <v>32184</v>
      </c>
      <c r="AD8" s="1">
        <f>AVERAGEIF(baseCase_installedCap!$B$63:$BC$63,assumptions!AD$2,baseCase_installedCap!$B6:$BC6)</f>
        <v>32184</v>
      </c>
      <c r="AE8" s="1">
        <f>AVERAGEIF(baseCase_installedCap!$B$63:$BC$63,assumptions!AE$2,baseCase_installedCap!$B6:$BC6)</f>
        <v>32184</v>
      </c>
      <c r="AF8" s="1">
        <f>AVERAGEIF(baseCase_installedCap!$B$63:$BC$63,assumptions!AF$2,baseCase_installedCap!$B6:$BC6)</f>
        <v>32184</v>
      </c>
      <c r="AG8" s="1">
        <f>AVERAGEIF(baseCase_installedCap!$B$63:$BC$63,assumptions!AG$2,baseCase_installedCap!$B6:$BC6)</f>
        <v>32184</v>
      </c>
      <c r="AH8" s="1">
        <f>AVERAGEIF(baseCase_installedCap!$B$63:$BC$63,assumptions!AH$2,baseCase_installedCap!$B6:$BC6)</f>
        <v>32184</v>
      </c>
      <c r="AI8" s="1">
        <f>AVERAGEIF(baseCase_installedCap!$B$63:$BC$63,assumptions!AI$2,baseCase_installedCap!$B6:$BC6)</f>
        <v>32184</v>
      </c>
      <c r="AJ8" s="1">
        <f>AVERAGEIF(baseCase_installedCap!$B$63:$BC$63,assumptions!AJ$2,baseCase_installedCap!$B6:$BC6)</f>
        <v>32184</v>
      </c>
      <c r="AL8" s="1">
        <f>AVERAGEIF(baseCase_percMembers!$B$63:$BC$63,assumptions!AL$2,baseCase_percMembers!$B6:$BC6)</f>
        <v>8.4000000000000005E-2</v>
      </c>
      <c r="AM8" s="1">
        <f>AVERAGEIF(baseCase_percMembers!$B$63:$BC$63,assumptions!AM$2,baseCase_percMembers!$B6:$BC6)</f>
        <v>8.4000000000000005E-2</v>
      </c>
      <c r="AN8" s="1">
        <f>AVERAGEIF(baseCase_percMembers!$B$63:$BC$63,assumptions!AN$2,baseCase_percMembers!$B6:$BC6)</f>
        <v>8.4000000000000005E-2</v>
      </c>
      <c r="AO8" s="1">
        <f>AVERAGEIF(baseCase_percMembers!$B$63:$BC$63,assumptions!AO$2,baseCase_percMembers!$B6:$BC6)</f>
        <v>8.4000000000000005E-2</v>
      </c>
      <c r="AP8" s="1">
        <f>AVERAGEIF(baseCase_percMembers!$B$63:$BC$63,assumptions!AP$2,baseCase_percMembers!$B6:$BC6)</f>
        <v>8.4000000000000005E-2</v>
      </c>
      <c r="AQ8" s="1">
        <f>AVERAGEIF(baseCase_percMembers!$B$63:$BC$63,assumptions!AQ$2,baseCase_percMembers!$B6:$BC6)</f>
        <v>8.4000000000000005E-2</v>
      </c>
      <c r="AR8" s="1">
        <f>AVERAGEIF(baseCase_percMembers!$B$63:$BC$63,assumptions!AR$2,baseCase_percMembers!$B6:$BC6)</f>
        <v>8.4000000000000005E-2</v>
      </c>
      <c r="AS8" s="1">
        <f>AVERAGEIF(baseCase_percMembers!$B$63:$BC$63,assumptions!AS$2,baseCase_percMembers!$B6:$BC6)</f>
        <v>8.4000000000000005E-2</v>
      </c>
      <c r="AT8" s="1">
        <f>AVERAGEIF(baseCase_percMembers!$B$63:$BC$63,assumptions!AT$2,baseCase_percMembers!$B6:$BC6)</f>
        <v>8.4000000000000005E-2</v>
      </c>
    </row>
    <row r="9" spans="1:46" x14ac:dyDescent="0.3">
      <c r="G9">
        <v>2014</v>
      </c>
      <c r="H9" s="1">
        <f>AVERAGEIF(baseCase_projects!$B$63:$BC$63,assumptions!H$2,baseCase_projects!$B7:$BC7)</f>
        <v>100</v>
      </c>
      <c r="I9" s="1">
        <f>AVERAGEIF(baseCase_projects!$B$63:$BC$63,assumptions!I$2,baseCase_projects!$B7:$BC7)</f>
        <v>100</v>
      </c>
      <c r="J9" s="1">
        <f>AVERAGEIF(baseCase_projects!$B$63:$BC$63,assumptions!J$2,baseCase_projects!$B7:$BC7)</f>
        <v>100</v>
      </c>
      <c r="K9" s="1">
        <f>AVERAGEIF(baseCase_projects!$B$63:$BC$63,assumptions!K$2,baseCase_projects!$B7:$BC7)</f>
        <v>100</v>
      </c>
      <c r="L9" s="1">
        <f>AVERAGEIF(baseCase_projects!$B$63:$BC$63,assumptions!L$2,baseCase_projects!$B7:$BC7)</f>
        <v>100</v>
      </c>
      <c r="M9" s="1">
        <f>AVERAGEIF(baseCase_projects!$B$63:$BC$63,assumptions!M$2,baseCase_projects!$B7:$BC7)</f>
        <v>100</v>
      </c>
      <c r="N9" s="1">
        <f>AVERAGEIF(baseCase_projects!$B$63:$BC$63,assumptions!N$2,baseCase_projects!$B7:$BC7)</f>
        <v>100</v>
      </c>
      <c r="O9" s="1">
        <f>AVERAGEIF(baseCase_projects!$B$63:$BC$63,assumptions!O$2,baseCase_projects!$B7:$BC7)</f>
        <v>100</v>
      </c>
      <c r="P9" s="1">
        <f>AVERAGEIF(baseCase_projects!$B$63:$BC$63,assumptions!P$2,baseCase_projects!$B7:$BC7)</f>
        <v>100</v>
      </c>
      <c r="R9" s="1">
        <f>AVERAGEIF(baseCase_ECs!$B$63:$BC$63,assumptions!R$2,baseCase_ECs!$B7:$BC7)</f>
        <v>176</v>
      </c>
      <c r="S9" s="1">
        <f>AVERAGEIF(baseCase_ECs!$B$63:$BC$63,assumptions!S$2,baseCase_ECs!$B7:$BC7)</f>
        <v>176</v>
      </c>
      <c r="T9" s="1">
        <f>AVERAGEIF(baseCase_ECs!$B$63:$BC$63,assumptions!T$2,baseCase_ECs!$B7:$BC7)</f>
        <v>176</v>
      </c>
      <c r="U9" s="1">
        <f>AVERAGEIF(baseCase_ECs!$B$63:$BC$63,assumptions!U$2,baseCase_ECs!$B7:$BC7)</f>
        <v>176</v>
      </c>
      <c r="V9" s="1">
        <f>AVERAGEIF(baseCase_ECs!$B$63:$BC$63,assumptions!V$2,baseCase_ECs!$B7:$BC7)</f>
        <v>176</v>
      </c>
      <c r="W9" s="1">
        <f>AVERAGEIF(baseCase_ECs!$B$63:$BC$63,assumptions!W$2,baseCase_ECs!$B7:$BC7)</f>
        <v>176</v>
      </c>
      <c r="X9" s="1">
        <f>AVERAGEIF(baseCase_ECs!$B$63:$BC$63,assumptions!X$2,baseCase_ECs!$B7:$BC7)</f>
        <v>176</v>
      </c>
      <c r="Y9" s="1">
        <f>AVERAGEIF(baseCase_ECs!$B$63:$BC$63,assumptions!Y$2,baseCase_ECs!$B7:$BC7)</f>
        <v>176</v>
      </c>
      <c r="Z9" s="1">
        <f>AVERAGEIF(baseCase_ECs!$B$63:$BC$63,assumptions!Z$2,baseCase_ECs!$B7:$BC7)</f>
        <v>176</v>
      </c>
      <c r="AB9" s="1">
        <f>AVERAGEIF(baseCase_installedCap!$B$63:$BC$63,assumptions!AB$2,baseCase_installedCap!$B7:$BC7)</f>
        <v>44700</v>
      </c>
      <c r="AC9" s="1">
        <f>AVERAGEIF(baseCase_installedCap!$B$63:$BC$63,assumptions!AC$2,baseCase_installedCap!$B7:$BC7)</f>
        <v>44700</v>
      </c>
      <c r="AD9" s="1">
        <f>AVERAGEIF(baseCase_installedCap!$B$63:$BC$63,assumptions!AD$2,baseCase_installedCap!$B7:$BC7)</f>
        <v>44700</v>
      </c>
      <c r="AE9" s="1">
        <f>AVERAGEIF(baseCase_installedCap!$B$63:$BC$63,assumptions!AE$2,baseCase_installedCap!$B7:$BC7)</f>
        <v>44700</v>
      </c>
      <c r="AF9" s="1">
        <f>AVERAGEIF(baseCase_installedCap!$B$63:$BC$63,assumptions!AF$2,baseCase_installedCap!$B7:$BC7)</f>
        <v>44700</v>
      </c>
      <c r="AG9" s="1">
        <f>AVERAGEIF(baseCase_installedCap!$B$63:$BC$63,assumptions!AG$2,baseCase_installedCap!$B7:$BC7)</f>
        <v>44700</v>
      </c>
      <c r="AH9" s="1">
        <f>AVERAGEIF(baseCase_installedCap!$B$63:$BC$63,assumptions!AH$2,baseCase_installedCap!$B7:$BC7)</f>
        <v>44700</v>
      </c>
      <c r="AI9" s="1">
        <f>AVERAGEIF(baseCase_installedCap!$B$63:$BC$63,assumptions!AI$2,baseCase_installedCap!$B7:$BC7)</f>
        <v>44700</v>
      </c>
      <c r="AJ9" s="1">
        <f>AVERAGEIF(baseCase_installedCap!$B$63:$BC$63,assumptions!AJ$2,baseCase_installedCap!$B7:$BC7)</f>
        <v>44700</v>
      </c>
      <c r="AL9" s="1">
        <f>AVERAGEIF(baseCase_percMembers!$B$63:$BC$63,assumptions!AL$2,baseCase_percMembers!$B7:$BC7)</f>
        <v>0.11700000000000002</v>
      </c>
      <c r="AM9" s="1">
        <f>AVERAGEIF(baseCase_percMembers!$B$63:$BC$63,assumptions!AM$2,baseCase_percMembers!$B7:$BC7)</f>
        <v>0.11700000000000002</v>
      </c>
      <c r="AN9" s="1">
        <f>AVERAGEIF(baseCase_percMembers!$B$63:$BC$63,assumptions!AN$2,baseCase_percMembers!$B7:$BC7)</f>
        <v>0.11700000000000002</v>
      </c>
      <c r="AO9" s="1">
        <f>AVERAGEIF(baseCase_percMembers!$B$63:$BC$63,assumptions!AO$2,baseCase_percMembers!$B7:$BC7)</f>
        <v>0.11700000000000002</v>
      </c>
      <c r="AP9" s="1">
        <f>AVERAGEIF(baseCase_percMembers!$B$63:$BC$63,assumptions!AP$2,baseCase_percMembers!$B7:$BC7)</f>
        <v>0.11700000000000002</v>
      </c>
      <c r="AQ9" s="1">
        <f>AVERAGEIF(baseCase_percMembers!$B$63:$BC$63,assumptions!AQ$2,baseCase_percMembers!$B7:$BC7)</f>
        <v>0.11700000000000002</v>
      </c>
      <c r="AR9" s="1">
        <f>AVERAGEIF(baseCase_percMembers!$B$63:$BC$63,assumptions!AR$2,baseCase_percMembers!$B7:$BC7)</f>
        <v>0.11700000000000002</v>
      </c>
      <c r="AS9" s="1">
        <f>AVERAGEIF(baseCase_percMembers!$B$63:$BC$63,assumptions!AS$2,baseCase_percMembers!$B7:$BC7)</f>
        <v>0.11700000000000002</v>
      </c>
      <c r="AT9" s="1">
        <f>AVERAGEIF(baseCase_percMembers!$B$63:$BC$63,assumptions!AT$2,baseCase_percMembers!$B7:$BC7)</f>
        <v>0.11700000000000002</v>
      </c>
    </row>
    <row r="10" spans="1:46" x14ac:dyDescent="0.3">
      <c r="G10">
        <v>2015</v>
      </c>
      <c r="H10" s="1">
        <f>AVERAGEIF(baseCase_projects!$B$63:$BC$63,assumptions!H$2,baseCase_projects!$B8:$BC8)</f>
        <v>153</v>
      </c>
      <c r="I10" s="1">
        <f>AVERAGEIF(baseCase_projects!$B$63:$BC$63,assumptions!I$2,baseCase_projects!$B8:$BC8)</f>
        <v>153</v>
      </c>
      <c r="J10" s="1">
        <f>AVERAGEIF(baseCase_projects!$B$63:$BC$63,assumptions!J$2,baseCase_projects!$B8:$BC8)</f>
        <v>153</v>
      </c>
      <c r="K10" s="1">
        <f>AVERAGEIF(baseCase_projects!$B$63:$BC$63,assumptions!K$2,baseCase_projects!$B8:$BC8)</f>
        <v>153</v>
      </c>
      <c r="L10" s="1">
        <f>AVERAGEIF(baseCase_projects!$B$63:$BC$63,assumptions!L$2,baseCase_projects!$B8:$BC8)</f>
        <v>153</v>
      </c>
      <c r="M10" s="1">
        <f>AVERAGEIF(baseCase_projects!$B$63:$BC$63,assumptions!M$2,baseCase_projects!$B8:$BC8)</f>
        <v>153</v>
      </c>
      <c r="N10" s="1">
        <f>AVERAGEIF(baseCase_projects!$B$63:$BC$63,assumptions!N$2,baseCase_projects!$B8:$BC8)</f>
        <v>153</v>
      </c>
      <c r="O10" s="1">
        <f>AVERAGEIF(baseCase_projects!$B$63:$BC$63,assumptions!O$2,baseCase_projects!$B8:$BC8)</f>
        <v>153</v>
      </c>
      <c r="P10" s="1">
        <f>AVERAGEIF(baseCase_projects!$B$63:$BC$63,assumptions!P$2,baseCase_projects!$B8:$BC8)</f>
        <v>153</v>
      </c>
      <c r="R10" s="1">
        <f>AVERAGEIF(baseCase_ECs!$B$63:$BC$63,assumptions!R$2,baseCase_ECs!$B8:$BC8)</f>
        <v>237</v>
      </c>
      <c r="S10" s="1">
        <f>AVERAGEIF(baseCase_ECs!$B$63:$BC$63,assumptions!S$2,baseCase_ECs!$B8:$BC8)</f>
        <v>237</v>
      </c>
      <c r="T10" s="1">
        <f>AVERAGEIF(baseCase_ECs!$B$63:$BC$63,assumptions!T$2,baseCase_ECs!$B8:$BC8)</f>
        <v>237</v>
      </c>
      <c r="U10" s="1">
        <f>AVERAGEIF(baseCase_ECs!$B$63:$BC$63,assumptions!U$2,baseCase_ECs!$B8:$BC8)</f>
        <v>237</v>
      </c>
      <c r="V10" s="1">
        <f>AVERAGEIF(baseCase_ECs!$B$63:$BC$63,assumptions!V$2,baseCase_ECs!$B8:$BC8)</f>
        <v>237</v>
      </c>
      <c r="W10" s="1">
        <f>AVERAGEIF(baseCase_ECs!$B$63:$BC$63,assumptions!W$2,baseCase_ECs!$B8:$BC8)</f>
        <v>237</v>
      </c>
      <c r="X10" s="1">
        <f>AVERAGEIF(baseCase_ECs!$B$63:$BC$63,assumptions!X$2,baseCase_ECs!$B8:$BC8)</f>
        <v>237</v>
      </c>
      <c r="Y10" s="1">
        <f>AVERAGEIF(baseCase_ECs!$B$63:$BC$63,assumptions!Y$2,baseCase_ECs!$B8:$BC8)</f>
        <v>237</v>
      </c>
      <c r="Z10" s="1">
        <f>AVERAGEIF(baseCase_ECs!$B$63:$BC$63,assumptions!Z$2,baseCase_ECs!$B8:$BC8)</f>
        <v>237</v>
      </c>
      <c r="AB10" s="1">
        <f>AVERAGEIF(baseCase_installedCap!$B$63:$BC$63,assumptions!AB$2,baseCase_installedCap!$B8:$BC8)</f>
        <v>68391</v>
      </c>
      <c r="AC10" s="1">
        <f>AVERAGEIF(baseCase_installedCap!$B$63:$BC$63,assumptions!AC$2,baseCase_installedCap!$B8:$BC8)</f>
        <v>68391</v>
      </c>
      <c r="AD10" s="1">
        <f>AVERAGEIF(baseCase_installedCap!$B$63:$BC$63,assumptions!AD$2,baseCase_installedCap!$B8:$BC8)</f>
        <v>68391</v>
      </c>
      <c r="AE10" s="1">
        <f>AVERAGEIF(baseCase_installedCap!$B$63:$BC$63,assumptions!AE$2,baseCase_installedCap!$B8:$BC8)</f>
        <v>68391</v>
      </c>
      <c r="AF10" s="1">
        <f>AVERAGEIF(baseCase_installedCap!$B$63:$BC$63,assumptions!AF$2,baseCase_installedCap!$B8:$BC8)</f>
        <v>68391</v>
      </c>
      <c r="AG10" s="1">
        <f>AVERAGEIF(baseCase_installedCap!$B$63:$BC$63,assumptions!AG$2,baseCase_installedCap!$B8:$BC8)</f>
        <v>68391</v>
      </c>
      <c r="AH10" s="1">
        <f>AVERAGEIF(baseCase_installedCap!$B$63:$BC$63,assumptions!AH$2,baseCase_installedCap!$B8:$BC8)</f>
        <v>68391</v>
      </c>
      <c r="AI10" s="1">
        <f>AVERAGEIF(baseCase_installedCap!$B$63:$BC$63,assumptions!AI$2,baseCase_installedCap!$B8:$BC8)</f>
        <v>68391</v>
      </c>
      <c r="AJ10" s="1">
        <f>AVERAGEIF(baseCase_installedCap!$B$63:$BC$63,assumptions!AJ$2,baseCase_installedCap!$B8:$BC8)</f>
        <v>68391</v>
      </c>
      <c r="AL10" s="1">
        <f>AVERAGEIF(baseCase_percMembers!$B$63:$BC$63,assumptions!AL$2,baseCase_percMembers!$B8:$BC8)</f>
        <v>0.17799999999999999</v>
      </c>
      <c r="AM10" s="1">
        <f>AVERAGEIF(baseCase_percMembers!$B$63:$BC$63,assumptions!AM$2,baseCase_percMembers!$B8:$BC8)</f>
        <v>0.17799999999999999</v>
      </c>
      <c r="AN10" s="1">
        <f>AVERAGEIF(baseCase_percMembers!$B$63:$BC$63,assumptions!AN$2,baseCase_percMembers!$B8:$BC8)</f>
        <v>0.17799999999999999</v>
      </c>
      <c r="AO10" s="1">
        <f>AVERAGEIF(baseCase_percMembers!$B$63:$BC$63,assumptions!AO$2,baseCase_percMembers!$B8:$BC8)</f>
        <v>0.17799999999999999</v>
      </c>
      <c r="AP10" s="1">
        <f>AVERAGEIF(baseCase_percMembers!$B$63:$BC$63,assumptions!AP$2,baseCase_percMembers!$B8:$BC8)</f>
        <v>0.17799999999999999</v>
      </c>
      <c r="AQ10" s="1">
        <f>AVERAGEIF(baseCase_percMembers!$B$63:$BC$63,assumptions!AQ$2,baseCase_percMembers!$B8:$BC8)</f>
        <v>0.17799999999999999</v>
      </c>
      <c r="AR10" s="1">
        <f>AVERAGEIF(baseCase_percMembers!$B$63:$BC$63,assumptions!AR$2,baseCase_percMembers!$B8:$BC8)</f>
        <v>0.17799999999999999</v>
      </c>
      <c r="AS10" s="1">
        <f>AVERAGEIF(baseCase_percMembers!$B$63:$BC$63,assumptions!AS$2,baseCase_percMembers!$B8:$BC8)</f>
        <v>0.17799999999999999</v>
      </c>
      <c r="AT10" s="1">
        <f>AVERAGEIF(baseCase_percMembers!$B$63:$BC$63,assumptions!AT$2,baseCase_percMembers!$B8:$BC8)</f>
        <v>0.17799999999999999</v>
      </c>
    </row>
    <row r="11" spans="1:46" x14ac:dyDescent="0.3">
      <c r="G11">
        <v>2016</v>
      </c>
      <c r="H11" s="1">
        <f>AVERAGEIF(baseCase_projects!$B$63:$BC$63,assumptions!H$2,baseCase_projects!$B9:$BC9)</f>
        <v>226</v>
      </c>
      <c r="I11" s="1">
        <f>AVERAGEIF(baseCase_projects!$B$63:$BC$63,assumptions!I$2,baseCase_projects!$B9:$BC9)</f>
        <v>226</v>
      </c>
      <c r="J11" s="1">
        <f>AVERAGEIF(baseCase_projects!$B$63:$BC$63,assumptions!J$2,baseCase_projects!$B9:$BC9)</f>
        <v>226</v>
      </c>
      <c r="K11" s="1">
        <f>AVERAGEIF(baseCase_projects!$B$63:$BC$63,assumptions!K$2,baseCase_projects!$B9:$BC9)</f>
        <v>226</v>
      </c>
      <c r="L11" s="1">
        <f>AVERAGEIF(baseCase_projects!$B$63:$BC$63,assumptions!L$2,baseCase_projects!$B9:$BC9)</f>
        <v>226</v>
      </c>
      <c r="M11" s="1">
        <f>AVERAGEIF(baseCase_projects!$B$63:$BC$63,assumptions!M$2,baseCase_projects!$B9:$BC9)</f>
        <v>226</v>
      </c>
      <c r="N11" s="1">
        <f>AVERAGEIF(baseCase_projects!$B$63:$BC$63,assumptions!N$2,baseCase_projects!$B9:$BC9)</f>
        <v>226</v>
      </c>
      <c r="O11" s="1">
        <f>AVERAGEIF(baseCase_projects!$B$63:$BC$63,assumptions!O$2,baseCase_projects!$B9:$BC9)</f>
        <v>226</v>
      </c>
      <c r="P11" s="1">
        <f>AVERAGEIF(baseCase_projects!$B$63:$BC$63,assumptions!P$2,baseCase_projects!$B9:$BC9)</f>
        <v>226</v>
      </c>
      <c r="R11" s="1">
        <f>AVERAGEIF(baseCase_ECs!$B$63:$BC$63,assumptions!R$2,baseCase_ECs!$B9:$BC9)</f>
        <v>304</v>
      </c>
      <c r="S11" s="1">
        <f>AVERAGEIF(baseCase_ECs!$B$63:$BC$63,assumptions!S$2,baseCase_ECs!$B9:$BC9)</f>
        <v>304</v>
      </c>
      <c r="T11" s="1">
        <f>AVERAGEIF(baseCase_ECs!$B$63:$BC$63,assumptions!T$2,baseCase_ECs!$B9:$BC9)</f>
        <v>304</v>
      </c>
      <c r="U11" s="1">
        <f>AVERAGEIF(baseCase_ECs!$B$63:$BC$63,assumptions!U$2,baseCase_ECs!$B9:$BC9)</f>
        <v>304</v>
      </c>
      <c r="V11" s="1">
        <f>AVERAGEIF(baseCase_ECs!$B$63:$BC$63,assumptions!V$2,baseCase_ECs!$B9:$BC9)</f>
        <v>304</v>
      </c>
      <c r="W11" s="1">
        <f>AVERAGEIF(baseCase_ECs!$B$63:$BC$63,assumptions!W$2,baseCase_ECs!$B9:$BC9)</f>
        <v>304</v>
      </c>
      <c r="X11" s="1">
        <f>AVERAGEIF(baseCase_ECs!$B$63:$BC$63,assumptions!X$2,baseCase_ECs!$B9:$BC9)</f>
        <v>304</v>
      </c>
      <c r="Y11" s="1">
        <f>AVERAGEIF(baseCase_ECs!$B$63:$BC$63,assumptions!Y$2,baseCase_ECs!$B9:$BC9)</f>
        <v>304</v>
      </c>
      <c r="Z11" s="1">
        <f>AVERAGEIF(baseCase_ECs!$B$63:$BC$63,assumptions!Z$2,baseCase_ECs!$B9:$BC9)</f>
        <v>304</v>
      </c>
      <c r="AB11" s="1">
        <f>AVERAGEIF(baseCase_installedCap!$B$63:$BC$63,assumptions!AB$2,baseCase_installedCap!$B9:$BC9)</f>
        <v>101022</v>
      </c>
      <c r="AC11" s="1">
        <f>AVERAGEIF(baseCase_installedCap!$B$63:$BC$63,assumptions!AC$2,baseCase_installedCap!$B9:$BC9)</f>
        <v>101022</v>
      </c>
      <c r="AD11" s="1">
        <f>AVERAGEIF(baseCase_installedCap!$B$63:$BC$63,assumptions!AD$2,baseCase_installedCap!$B9:$BC9)</f>
        <v>101022</v>
      </c>
      <c r="AE11" s="1">
        <f>AVERAGEIF(baseCase_installedCap!$B$63:$BC$63,assumptions!AE$2,baseCase_installedCap!$B9:$BC9)</f>
        <v>101022</v>
      </c>
      <c r="AF11" s="1">
        <f>AVERAGEIF(baseCase_installedCap!$B$63:$BC$63,assumptions!AF$2,baseCase_installedCap!$B9:$BC9)</f>
        <v>101022</v>
      </c>
      <c r="AG11" s="1">
        <f>AVERAGEIF(baseCase_installedCap!$B$63:$BC$63,assumptions!AG$2,baseCase_installedCap!$B9:$BC9)</f>
        <v>101022</v>
      </c>
      <c r="AH11" s="1">
        <f>AVERAGEIF(baseCase_installedCap!$B$63:$BC$63,assumptions!AH$2,baseCase_installedCap!$B9:$BC9)</f>
        <v>101022</v>
      </c>
      <c r="AI11" s="1">
        <f>AVERAGEIF(baseCase_installedCap!$B$63:$BC$63,assumptions!AI$2,baseCase_installedCap!$B9:$BC9)</f>
        <v>101022</v>
      </c>
      <c r="AJ11" s="1">
        <f>AVERAGEIF(baseCase_installedCap!$B$63:$BC$63,assumptions!AJ$2,baseCase_installedCap!$B9:$BC9)</f>
        <v>101022</v>
      </c>
      <c r="AL11" s="1">
        <f>AVERAGEIF(baseCase_percMembers!$B$63:$BC$63,assumptions!AL$2,baseCase_percMembers!$B9:$BC9)</f>
        <v>0.25900000000000001</v>
      </c>
      <c r="AM11" s="1">
        <f>AVERAGEIF(baseCase_percMembers!$B$63:$BC$63,assumptions!AM$2,baseCase_percMembers!$B9:$BC9)</f>
        <v>0.25900000000000001</v>
      </c>
      <c r="AN11" s="1">
        <f>AVERAGEIF(baseCase_percMembers!$B$63:$BC$63,assumptions!AN$2,baseCase_percMembers!$B9:$BC9)</f>
        <v>0.25900000000000001</v>
      </c>
      <c r="AO11" s="1">
        <f>AVERAGEIF(baseCase_percMembers!$B$63:$BC$63,assumptions!AO$2,baseCase_percMembers!$B9:$BC9)</f>
        <v>0.25900000000000001</v>
      </c>
      <c r="AP11" s="1">
        <f>AVERAGEIF(baseCase_percMembers!$B$63:$BC$63,assumptions!AP$2,baseCase_percMembers!$B9:$BC9)</f>
        <v>0.25900000000000001</v>
      </c>
      <c r="AQ11" s="1">
        <f>AVERAGEIF(baseCase_percMembers!$B$63:$BC$63,assumptions!AQ$2,baseCase_percMembers!$B9:$BC9)</f>
        <v>0.25900000000000001</v>
      </c>
      <c r="AR11" s="1">
        <f>AVERAGEIF(baseCase_percMembers!$B$63:$BC$63,assumptions!AR$2,baseCase_percMembers!$B9:$BC9)</f>
        <v>0.25900000000000001</v>
      </c>
      <c r="AS11" s="1">
        <f>AVERAGEIF(baseCase_percMembers!$B$63:$BC$63,assumptions!AS$2,baseCase_percMembers!$B9:$BC9)</f>
        <v>0.25900000000000001</v>
      </c>
      <c r="AT11" s="1">
        <f>AVERAGEIF(baseCase_percMembers!$B$63:$BC$63,assumptions!AT$2,baseCase_percMembers!$B9:$BC9)</f>
        <v>0.25900000000000001</v>
      </c>
    </row>
    <row r="12" spans="1:46" x14ac:dyDescent="0.3">
      <c r="G12">
        <v>2017</v>
      </c>
      <c r="H12" s="1">
        <f>AVERAGEIF(baseCase_projects!$B$63:$BC$63,assumptions!H$2,baseCase_projects!$B10:$BC10)</f>
        <v>336</v>
      </c>
      <c r="I12" s="1">
        <f>AVERAGEIF(baseCase_projects!$B$63:$BC$63,assumptions!I$2,baseCase_projects!$B10:$BC10)</f>
        <v>336</v>
      </c>
      <c r="J12" s="1">
        <f>AVERAGEIF(baseCase_projects!$B$63:$BC$63,assumptions!J$2,baseCase_projects!$B10:$BC10)</f>
        <v>336</v>
      </c>
      <c r="K12" s="1">
        <f>AVERAGEIF(baseCase_projects!$B$63:$BC$63,assumptions!K$2,baseCase_projects!$B10:$BC10)</f>
        <v>336</v>
      </c>
      <c r="L12" s="1">
        <f>AVERAGEIF(baseCase_projects!$B$63:$BC$63,assumptions!L$2,baseCase_projects!$B10:$BC10)</f>
        <v>336</v>
      </c>
      <c r="M12" s="1">
        <f>AVERAGEIF(baseCase_projects!$B$63:$BC$63,assumptions!M$2,baseCase_projects!$B10:$BC10)</f>
        <v>336</v>
      </c>
      <c r="N12" s="1">
        <f>AVERAGEIF(baseCase_projects!$B$63:$BC$63,assumptions!N$2,baseCase_projects!$B10:$BC10)</f>
        <v>336</v>
      </c>
      <c r="O12" s="1">
        <f>AVERAGEIF(baseCase_projects!$B$63:$BC$63,assumptions!O$2,baseCase_projects!$B10:$BC10)</f>
        <v>336</v>
      </c>
      <c r="P12" s="1">
        <f>AVERAGEIF(baseCase_projects!$B$63:$BC$63,assumptions!P$2,baseCase_projects!$B10:$BC10)</f>
        <v>336</v>
      </c>
      <c r="R12" s="1">
        <f>AVERAGEIF(baseCase_ECs!$B$63:$BC$63,assumptions!R$2,baseCase_ECs!$B10:$BC10)</f>
        <v>382</v>
      </c>
      <c r="S12" s="1">
        <f>AVERAGEIF(baseCase_ECs!$B$63:$BC$63,assumptions!S$2,baseCase_ECs!$B10:$BC10)</f>
        <v>382</v>
      </c>
      <c r="T12" s="1">
        <f>AVERAGEIF(baseCase_ECs!$B$63:$BC$63,assumptions!T$2,baseCase_ECs!$B10:$BC10)</f>
        <v>382</v>
      </c>
      <c r="U12" s="1">
        <f>AVERAGEIF(baseCase_ECs!$B$63:$BC$63,assumptions!U$2,baseCase_ECs!$B10:$BC10)</f>
        <v>382</v>
      </c>
      <c r="V12" s="1">
        <f>AVERAGEIF(baseCase_ECs!$B$63:$BC$63,assumptions!V$2,baseCase_ECs!$B10:$BC10)</f>
        <v>382</v>
      </c>
      <c r="W12" s="1">
        <f>AVERAGEIF(baseCase_ECs!$B$63:$BC$63,assumptions!W$2,baseCase_ECs!$B10:$BC10)</f>
        <v>382</v>
      </c>
      <c r="X12" s="1">
        <f>AVERAGEIF(baseCase_ECs!$B$63:$BC$63,assumptions!X$2,baseCase_ECs!$B10:$BC10)</f>
        <v>382</v>
      </c>
      <c r="Y12" s="1">
        <f>AVERAGEIF(baseCase_ECs!$B$63:$BC$63,assumptions!Y$2,baseCase_ECs!$B10:$BC10)</f>
        <v>382</v>
      </c>
      <c r="Z12" s="1">
        <f>AVERAGEIF(baseCase_ECs!$B$63:$BC$63,assumptions!Z$2,baseCase_ECs!$B10:$BC10)</f>
        <v>382</v>
      </c>
      <c r="AB12" s="1">
        <f>AVERAGEIF(baseCase_installedCap!$B$63:$BC$63,assumptions!AB$2,baseCase_installedCap!$B10:$BC10)</f>
        <v>150192</v>
      </c>
      <c r="AC12" s="1">
        <f>AVERAGEIF(baseCase_installedCap!$B$63:$BC$63,assumptions!AC$2,baseCase_installedCap!$B10:$BC10)</f>
        <v>150192</v>
      </c>
      <c r="AD12" s="1">
        <f>AVERAGEIF(baseCase_installedCap!$B$63:$BC$63,assumptions!AD$2,baseCase_installedCap!$B10:$BC10)</f>
        <v>150192</v>
      </c>
      <c r="AE12" s="1">
        <f>AVERAGEIF(baseCase_installedCap!$B$63:$BC$63,assumptions!AE$2,baseCase_installedCap!$B10:$BC10)</f>
        <v>150192</v>
      </c>
      <c r="AF12" s="1">
        <f>AVERAGEIF(baseCase_installedCap!$B$63:$BC$63,assumptions!AF$2,baseCase_installedCap!$B10:$BC10)</f>
        <v>150192</v>
      </c>
      <c r="AG12" s="1">
        <f>AVERAGEIF(baseCase_installedCap!$B$63:$BC$63,assumptions!AG$2,baseCase_installedCap!$B10:$BC10)</f>
        <v>150192</v>
      </c>
      <c r="AH12" s="1">
        <f>AVERAGEIF(baseCase_installedCap!$B$63:$BC$63,assumptions!AH$2,baseCase_installedCap!$B10:$BC10)</f>
        <v>150192</v>
      </c>
      <c r="AI12" s="1">
        <f>AVERAGEIF(baseCase_installedCap!$B$63:$BC$63,assumptions!AI$2,baseCase_installedCap!$B10:$BC10)</f>
        <v>150192</v>
      </c>
      <c r="AJ12" s="1">
        <f>AVERAGEIF(baseCase_installedCap!$B$63:$BC$63,assumptions!AJ$2,baseCase_installedCap!$B10:$BC10)</f>
        <v>150192</v>
      </c>
      <c r="AL12" s="1">
        <f>AVERAGEIF(baseCase_percMembers!$B$63:$BC$63,assumptions!AL$2,baseCase_percMembers!$B10:$BC10)</f>
        <v>0.38100000000000001</v>
      </c>
      <c r="AM12" s="1">
        <f>AVERAGEIF(baseCase_percMembers!$B$63:$BC$63,assumptions!AM$2,baseCase_percMembers!$B10:$BC10)</f>
        <v>0.38100000000000001</v>
      </c>
      <c r="AN12" s="1">
        <f>AVERAGEIF(baseCase_percMembers!$B$63:$BC$63,assumptions!AN$2,baseCase_percMembers!$B10:$BC10)</f>
        <v>0.38100000000000001</v>
      </c>
      <c r="AO12" s="1">
        <f>AVERAGEIF(baseCase_percMembers!$B$63:$BC$63,assumptions!AO$2,baseCase_percMembers!$B10:$BC10)</f>
        <v>0.38100000000000001</v>
      </c>
      <c r="AP12" s="1">
        <f>AVERAGEIF(baseCase_percMembers!$B$63:$BC$63,assumptions!AP$2,baseCase_percMembers!$B10:$BC10)</f>
        <v>0.38100000000000001</v>
      </c>
      <c r="AQ12" s="1">
        <f>AVERAGEIF(baseCase_percMembers!$B$63:$BC$63,assumptions!AQ$2,baseCase_percMembers!$B10:$BC10)</f>
        <v>0.38100000000000001</v>
      </c>
      <c r="AR12" s="1">
        <f>AVERAGEIF(baseCase_percMembers!$B$63:$BC$63,assumptions!AR$2,baseCase_percMembers!$B10:$BC10)</f>
        <v>0.38100000000000001</v>
      </c>
      <c r="AS12" s="1">
        <f>AVERAGEIF(baseCase_percMembers!$B$63:$BC$63,assumptions!AS$2,baseCase_percMembers!$B10:$BC10)</f>
        <v>0.38100000000000001</v>
      </c>
      <c r="AT12" s="1">
        <f>AVERAGEIF(baseCase_percMembers!$B$63:$BC$63,assumptions!AT$2,baseCase_percMembers!$B10:$BC10)</f>
        <v>0.38100000000000001</v>
      </c>
    </row>
    <row r="13" spans="1:46" x14ac:dyDescent="0.3">
      <c r="G13">
        <v>2018</v>
      </c>
      <c r="H13" s="1">
        <f>AVERAGEIF(baseCase_projects!$B$63:$BC$63,assumptions!H$2,baseCase_projects!$B11:$BC11)</f>
        <v>524</v>
      </c>
      <c r="I13" s="1">
        <f>AVERAGEIF(baseCase_projects!$B$63:$BC$63,assumptions!I$2,baseCase_projects!$B11:$BC11)</f>
        <v>524</v>
      </c>
      <c r="J13" s="1">
        <f>AVERAGEIF(baseCase_projects!$B$63:$BC$63,assumptions!J$2,baseCase_projects!$B11:$BC11)</f>
        <v>524</v>
      </c>
      <c r="K13" s="1">
        <f>AVERAGEIF(baseCase_projects!$B$63:$BC$63,assumptions!K$2,baseCase_projects!$B11:$BC11)</f>
        <v>524</v>
      </c>
      <c r="L13" s="1">
        <f>AVERAGEIF(baseCase_projects!$B$63:$BC$63,assumptions!L$2,baseCase_projects!$B11:$BC11)</f>
        <v>524</v>
      </c>
      <c r="M13" s="1">
        <f>AVERAGEIF(baseCase_projects!$B$63:$BC$63,assumptions!M$2,baseCase_projects!$B11:$BC11)</f>
        <v>524</v>
      </c>
      <c r="N13" s="1">
        <f>AVERAGEIF(baseCase_projects!$B$63:$BC$63,assumptions!N$2,baseCase_projects!$B11:$BC11)</f>
        <v>524</v>
      </c>
      <c r="O13" s="1">
        <f>AVERAGEIF(baseCase_projects!$B$63:$BC$63,assumptions!O$2,baseCase_projects!$B11:$BC11)</f>
        <v>524</v>
      </c>
      <c r="P13" s="1">
        <f>AVERAGEIF(baseCase_projects!$B$63:$BC$63,assumptions!P$2,baseCase_projects!$B11:$BC11)</f>
        <v>524</v>
      </c>
      <c r="R13" s="1">
        <f>AVERAGEIF(baseCase_ECs!$B$63:$BC$63,assumptions!R$2,baseCase_ECs!$B11:$BC11)</f>
        <v>476</v>
      </c>
      <c r="S13" s="1">
        <f>AVERAGEIF(baseCase_ECs!$B$63:$BC$63,assumptions!S$2,baseCase_ECs!$B11:$BC11)</f>
        <v>476</v>
      </c>
      <c r="T13" s="1">
        <f>AVERAGEIF(baseCase_ECs!$B$63:$BC$63,assumptions!T$2,baseCase_ECs!$B11:$BC11)</f>
        <v>476</v>
      </c>
      <c r="U13" s="1">
        <f>AVERAGEIF(baseCase_ECs!$B$63:$BC$63,assumptions!U$2,baseCase_ECs!$B11:$BC11)</f>
        <v>476</v>
      </c>
      <c r="V13" s="1">
        <f>AVERAGEIF(baseCase_ECs!$B$63:$BC$63,assumptions!V$2,baseCase_ECs!$B11:$BC11)</f>
        <v>476</v>
      </c>
      <c r="W13" s="1">
        <f>AVERAGEIF(baseCase_ECs!$B$63:$BC$63,assumptions!W$2,baseCase_ECs!$B11:$BC11)</f>
        <v>476</v>
      </c>
      <c r="X13" s="1">
        <f>AVERAGEIF(baseCase_ECs!$B$63:$BC$63,assumptions!X$2,baseCase_ECs!$B11:$BC11)</f>
        <v>476</v>
      </c>
      <c r="Y13" s="1">
        <f>AVERAGEIF(baseCase_ECs!$B$63:$BC$63,assumptions!Y$2,baseCase_ECs!$B11:$BC11)</f>
        <v>476</v>
      </c>
      <c r="Z13" s="1">
        <f>AVERAGEIF(baseCase_ECs!$B$63:$BC$63,assumptions!Z$2,baseCase_ECs!$B11:$BC11)</f>
        <v>476</v>
      </c>
      <c r="AB13" s="1">
        <f>AVERAGEIF(baseCase_installedCap!$B$63:$BC$63,assumptions!AB$2,baseCase_installedCap!$B11:$BC11)</f>
        <v>234228</v>
      </c>
      <c r="AC13" s="1">
        <f>AVERAGEIF(baseCase_installedCap!$B$63:$BC$63,assumptions!AC$2,baseCase_installedCap!$B11:$BC11)</f>
        <v>234228</v>
      </c>
      <c r="AD13" s="1">
        <f>AVERAGEIF(baseCase_installedCap!$B$63:$BC$63,assumptions!AD$2,baseCase_installedCap!$B11:$BC11)</f>
        <v>234228</v>
      </c>
      <c r="AE13" s="1">
        <f>AVERAGEIF(baseCase_installedCap!$B$63:$BC$63,assumptions!AE$2,baseCase_installedCap!$B11:$BC11)</f>
        <v>234228</v>
      </c>
      <c r="AF13" s="1">
        <f>AVERAGEIF(baseCase_installedCap!$B$63:$BC$63,assumptions!AF$2,baseCase_installedCap!$B11:$BC11)</f>
        <v>234228</v>
      </c>
      <c r="AG13" s="1">
        <f>AVERAGEIF(baseCase_installedCap!$B$63:$BC$63,assumptions!AG$2,baseCase_installedCap!$B11:$BC11)</f>
        <v>234228</v>
      </c>
      <c r="AH13" s="1">
        <f>AVERAGEIF(baseCase_installedCap!$B$63:$BC$63,assumptions!AH$2,baseCase_installedCap!$B11:$BC11)</f>
        <v>234228</v>
      </c>
      <c r="AI13" s="1">
        <f>AVERAGEIF(baseCase_installedCap!$B$63:$BC$63,assumptions!AI$2,baseCase_installedCap!$B11:$BC11)</f>
        <v>234228</v>
      </c>
      <c r="AJ13" s="1">
        <f>AVERAGEIF(baseCase_installedCap!$B$63:$BC$63,assumptions!AJ$2,baseCase_installedCap!$B11:$BC11)</f>
        <v>234228</v>
      </c>
      <c r="AL13" s="1">
        <f>AVERAGEIF(baseCase_percMembers!$B$63:$BC$63,assumptions!AL$2,baseCase_percMembers!$B11:$BC11)</f>
        <v>0.58899999999999997</v>
      </c>
      <c r="AM13" s="1">
        <f>AVERAGEIF(baseCase_percMembers!$B$63:$BC$63,assumptions!AM$2,baseCase_percMembers!$B11:$BC11)</f>
        <v>0.58899999999999997</v>
      </c>
      <c r="AN13" s="1">
        <f>AVERAGEIF(baseCase_percMembers!$B$63:$BC$63,assumptions!AN$2,baseCase_percMembers!$B11:$BC11)</f>
        <v>0.58899999999999997</v>
      </c>
      <c r="AO13" s="1">
        <f>AVERAGEIF(baseCase_percMembers!$B$63:$BC$63,assumptions!AO$2,baseCase_percMembers!$B11:$BC11)</f>
        <v>0.58899999999999997</v>
      </c>
      <c r="AP13" s="1">
        <f>AVERAGEIF(baseCase_percMembers!$B$63:$BC$63,assumptions!AP$2,baseCase_percMembers!$B11:$BC11)</f>
        <v>0.58899999999999997</v>
      </c>
      <c r="AQ13" s="1">
        <f>AVERAGEIF(baseCase_percMembers!$B$63:$BC$63,assumptions!AQ$2,baseCase_percMembers!$B11:$BC11)</f>
        <v>0.58899999999999997</v>
      </c>
      <c r="AR13" s="1">
        <f>AVERAGEIF(baseCase_percMembers!$B$63:$BC$63,assumptions!AR$2,baseCase_percMembers!$B11:$BC11)</f>
        <v>0.58899999999999997</v>
      </c>
      <c r="AS13" s="1">
        <f>AVERAGEIF(baseCase_percMembers!$B$63:$BC$63,assumptions!AS$2,baseCase_percMembers!$B11:$BC11)</f>
        <v>0.58899999999999997</v>
      </c>
      <c r="AT13" s="1">
        <f>AVERAGEIF(baseCase_percMembers!$B$63:$BC$63,assumptions!AT$2,baseCase_percMembers!$B11:$BC11)</f>
        <v>0.58899999999999997</v>
      </c>
    </row>
    <row r="14" spans="1:46" x14ac:dyDescent="0.3">
      <c r="G14">
        <v>2019</v>
      </c>
      <c r="H14" s="1">
        <f>AVERAGEIF(baseCase_projects!$B$63:$BC$63,assumptions!H$2,baseCase_projects!$B12:$BC12)</f>
        <v>726</v>
      </c>
      <c r="I14" s="1">
        <f>AVERAGEIF(baseCase_projects!$B$63:$BC$63,assumptions!I$2,baseCase_projects!$B12:$BC12)</f>
        <v>726</v>
      </c>
      <c r="J14" s="1">
        <f>AVERAGEIF(baseCase_projects!$B$63:$BC$63,assumptions!J$2,baseCase_projects!$B12:$BC12)</f>
        <v>726</v>
      </c>
      <c r="K14" s="1">
        <f>AVERAGEIF(baseCase_projects!$B$63:$BC$63,assumptions!K$2,baseCase_projects!$B12:$BC12)</f>
        <v>726</v>
      </c>
      <c r="L14" s="1">
        <f>AVERAGEIF(baseCase_projects!$B$63:$BC$63,assumptions!L$2,baseCase_projects!$B12:$BC12)</f>
        <v>726</v>
      </c>
      <c r="M14" s="1">
        <f>AVERAGEIF(baseCase_projects!$B$63:$BC$63,assumptions!M$2,baseCase_projects!$B12:$BC12)</f>
        <v>726</v>
      </c>
      <c r="N14" s="1">
        <f>AVERAGEIF(baseCase_projects!$B$63:$BC$63,assumptions!N$2,baseCase_projects!$B12:$BC12)</f>
        <v>726</v>
      </c>
      <c r="O14" s="1">
        <f>AVERAGEIF(baseCase_projects!$B$63:$BC$63,assumptions!O$2,baseCase_projects!$B12:$BC12)</f>
        <v>726</v>
      </c>
      <c r="P14" s="1">
        <f>AVERAGEIF(baseCase_projects!$B$63:$BC$63,assumptions!P$2,baseCase_projects!$B12:$BC12)</f>
        <v>726</v>
      </c>
      <c r="R14" s="1">
        <f>AVERAGEIF(baseCase_ECs!$B$63:$BC$63,assumptions!R$2,baseCase_ECs!$B12:$BC12)</f>
        <v>560</v>
      </c>
      <c r="S14" s="1">
        <f>AVERAGEIF(baseCase_ECs!$B$63:$BC$63,assumptions!S$2,baseCase_ECs!$B12:$BC12)</f>
        <v>560</v>
      </c>
      <c r="T14" s="1">
        <f>AVERAGEIF(baseCase_ECs!$B$63:$BC$63,assumptions!T$2,baseCase_ECs!$B12:$BC12)</f>
        <v>560</v>
      </c>
      <c r="U14" s="1">
        <f>AVERAGEIF(baseCase_ECs!$B$63:$BC$63,assumptions!U$2,baseCase_ECs!$B12:$BC12)</f>
        <v>560</v>
      </c>
      <c r="V14" s="1">
        <f>AVERAGEIF(baseCase_ECs!$B$63:$BC$63,assumptions!V$2,baseCase_ECs!$B12:$BC12)</f>
        <v>560</v>
      </c>
      <c r="W14" s="1">
        <f>AVERAGEIF(baseCase_ECs!$B$63:$BC$63,assumptions!W$2,baseCase_ECs!$B12:$BC12)</f>
        <v>560</v>
      </c>
      <c r="X14" s="1">
        <f>AVERAGEIF(baseCase_ECs!$B$63:$BC$63,assumptions!X$2,baseCase_ECs!$B12:$BC12)</f>
        <v>560</v>
      </c>
      <c r="Y14" s="1">
        <f>AVERAGEIF(baseCase_ECs!$B$63:$BC$63,assumptions!Y$2,baseCase_ECs!$B12:$BC12)</f>
        <v>560</v>
      </c>
      <c r="Z14" s="1">
        <f>AVERAGEIF(baseCase_ECs!$B$63:$BC$63,assumptions!Z$2,baseCase_ECs!$B12:$BC12)</f>
        <v>560</v>
      </c>
      <c r="AB14" s="1">
        <f>AVERAGEIF(baseCase_installedCap!$B$63:$BC$63,assumptions!AB$2,baseCase_installedCap!$B12:$BC12)</f>
        <v>324522</v>
      </c>
      <c r="AC14" s="1">
        <f>AVERAGEIF(baseCase_installedCap!$B$63:$BC$63,assumptions!AC$2,baseCase_installedCap!$B12:$BC12)</f>
        <v>324522</v>
      </c>
      <c r="AD14" s="1">
        <f>AVERAGEIF(baseCase_installedCap!$B$63:$BC$63,assumptions!AD$2,baseCase_installedCap!$B12:$BC12)</f>
        <v>324522</v>
      </c>
      <c r="AE14" s="1">
        <f>AVERAGEIF(baseCase_installedCap!$B$63:$BC$63,assumptions!AE$2,baseCase_installedCap!$B12:$BC12)</f>
        <v>324522</v>
      </c>
      <c r="AF14" s="1">
        <f>AVERAGEIF(baseCase_installedCap!$B$63:$BC$63,assumptions!AF$2,baseCase_installedCap!$B12:$BC12)</f>
        <v>324522</v>
      </c>
      <c r="AG14" s="1">
        <f>AVERAGEIF(baseCase_installedCap!$B$63:$BC$63,assumptions!AG$2,baseCase_installedCap!$B12:$BC12)</f>
        <v>324522</v>
      </c>
      <c r="AH14" s="1">
        <f>AVERAGEIF(baseCase_installedCap!$B$63:$BC$63,assumptions!AH$2,baseCase_installedCap!$B12:$BC12)</f>
        <v>324522</v>
      </c>
      <c r="AI14" s="1">
        <f>AVERAGEIF(baseCase_installedCap!$B$63:$BC$63,assumptions!AI$2,baseCase_installedCap!$B12:$BC12)</f>
        <v>324522</v>
      </c>
      <c r="AJ14" s="1">
        <f>AVERAGEIF(baseCase_installedCap!$B$63:$BC$63,assumptions!AJ$2,baseCase_installedCap!$B12:$BC12)</f>
        <v>324522</v>
      </c>
      <c r="AL14" s="1">
        <f>AVERAGEIF(baseCase_percMembers!$B$63:$BC$63,assumptions!AL$2,baseCase_percMembers!$B12:$BC12)</f>
        <v>0.81600000000000006</v>
      </c>
      <c r="AM14" s="1">
        <f>AVERAGEIF(baseCase_percMembers!$B$63:$BC$63,assumptions!AM$2,baseCase_percMembers!$B12:$BC12)</f>
        <v>0.81600000000000006</v>
      </c>
      <c r="AN14" s="1">
        <f>AVERAGEIF(baseCase_percMembers!$B$63:$BC$63,assumptions!AN$2,baseCase_percMembers!$B12:$BC12)</f>
        <v>0.81600000000000006</v>
      </c>
      <c r="AO14" s="1">
        <f>AVERAGEIF(baseCase_percMembers!$B$63:$BC$63,assumptions!AO$2,baseCase_percMembers!$B12:$BC12)</f>
        <v>0.81600000000000006</v>
      </c>
      <c r="AP14" s="1">
        <f>AVERAGEIF(baseCase_percMembers!$B$63:$BC$63,assumptions!AP$2,baseCase_percMembers!$B12:$BC12)</f>
        <v>0.81600000000000006</v>
      </c>
      <c r="AQ14" s="1">
        <f>AVERAGEIF(baseCase_percMembers!$B$63:$BC$63,assumptions!AQ$2,baseCase_percMembers!$B12:$BC12)</f>
        <v>0.81600000000000006</v>
      </c>
      <c r="AR14" s="1">
        <f>AVERAGEIF(baseCase_percMembers!$B$63:$BC$63,assumptions!AR$2,baseCase_percMembers!$B12:$BC12)</f>
        <v>0.81600000000000006</v>
      </c>
      <c r="AS14" s="1">
        <f>AVERAGEIF(baseCase_percMembers!$B$63:$BC$63,assumptions!AS$2,baseCase_percMembers!$B12:$BC12)</f>
        <v>0.81600000000000006</v>
      </c>
      <c r="AT14" s="1">
        <f>AVERAGEIF(baseCase_percMembers!$B$63:$BC$63,assumptions!AT$2,baseCase_percMembers!$B12:$BC12)</f>
        <v>0.81600000000000006</v>
      </c>
    </row>
    <row r="15" spans="1:46" x14ac:dyDescent="0.3">
      <c r="G15">
        <v>2020</v>
      </c>
      <c r="H15" s="1">
        <f>AVERAGEIF(baseCase_projects!$B$63:$BC$63,assumptions!H$2,baseCase_projects!$B13:$BC13)</f>
        <v>898</v>
      </c>
      <c r="I15" s="1">
        <f>AVERAGEIF(baseCase_projects!$B$63:$BC$63,assumptions!I$2,baseCase_projects!$B13:$BC13)</f>
        <v>898</v>
      </c>
      <c r="J15" s="1">
        <f>AVERAGEIF(baseCase_projects!$B$63:$BC$63,assumptions!J$2,baseCase_projects!$B13:$BC13)</f>
        <v>898</v>
      </c>
      <c r="K15" s="1">
        <f>AVERAGEIF(baseCase_projects!$B$63:$BC$63,assumptions!K$2,baseCase_projects!$B13:$BC13)</f>
        <v>898</v>
      </c>
      <c r="L15" s="1">
        <f>AVERAGEIF(baseCase_projects!$B$63:$BC$63,assumptions!L$2,baseCase_projects!$B13:$BC13)</f>
        <v>898</v>
      </c>
      <c r="M15" s="1">
        <f>AVERAGEIF(baseCase_projects!$B$63:$BC$63,assumptions!M$2,baseCase_projects!$B13:$BC13)</f>
        <v>898</v>
      </c>
      <c r="N15" s="1">
        <f>AVERAGEIF(baseCase_projects!$B$63:$BC$63,assumptions!N$2,baseCase_projects!$B13:$BC13)</f>
        <v>898</v>
      </c>
      <c r="O15" s="1">
        <f>AVERAGEIF(baseCase_projects!$B$63:$BC$63,assumptions!O$2,baseCase_projects!$B13:$BC13)</f>
        <v>898</v>
      </c>
      <c r="P15" s="1">
        <f>AVERAGEIF(baseCase_projects!$B$63:$BC$63,assumptions!P$2,baseCase_projects!$B13:$BC13)</f>
        <v>898</v>
      </c>
      <c r="R15" s="1">
        <f>AVERAGEIF(baseCase_ECs!$B$63:$BC$63,assumptions!R$2,baseCase_ECs!$B13:$BC13)</f>
        <v>613</v>
      </c>
      <c r="S15" s="1">
        <f>AVERAGEIF(baseCase_ECs!$B$63:$BC$63,assumptions!S$2,baseCase_ECs!$B13:$BC13)</f>
        <v>613</v>
      </c>
      <c r="T15" s="1">
        <f>AVERAGEIF(baseCase_ECs!$B$63:$BC$63,assumptions!T$2,baseCase_ECs!$B13:$BC13)</f>
        <v>613</v>
      </c>
      <c r="U15" s="1">
        <f>AVERAGEIF(baseCase_ECs!$B$63:$BC$63,assumptions!U$2,baseCase_ECs!$B13:$BC13)</f>
        <v>613</v>
      </c>
      <c r="V15" s="1">
        <f>AVERAGEIF(baseCase_ECs!$B$63:$BC$63,assumptions!V$2,baseCase_ECs!$B13:$BC13)</f>
        <v>613</v>
      </c>
      <c r="W15" s="1">
        <f>AVERAGEIF(baseCase_ECs!$B$63:$BC$63,assumptions!W$2,baseCase_ECs!$B13:$BC13)</f>
        <v>613</v>
      </c>
      <c r="X15" s="1">
        <f>AVERAGEIF(baseCase_ECs!$B$63:$BC$63,assumptions!X$2,baseCase_ECs!$B13:$BC13)</f>
        <v>613</v>
      </c>
      <c r="Y15" s="1">
        <f>AVERAGEIF(baseCase_ECs!$B$63:$BC$63,assumptions!Y$2,baseCase_ECs!$B13:$BC13)</f>
        <v>613</v>
      </c>
      <c r="Z15" s="1">
        <f>AVERAGEIF(baseCase_ECs!$B$63:$BC$63,assumptions!Z$2,baseCase_ECs!$B13:$BC13)</f>
        <v>613</v>
      </c>
      <c r="AB15" s="1">
        <f>AVERAGEIF(baseCase_installedCap!$B$63:$BC$63,assumptions!AB$2,baseCase_installedCap!$B13:$BC13)</f>
        <v>401406</v>
      </c>
      <c r="AC15" s="1">
        <f>AVERAGEIF(baseCase_installedCap!$B$63:$BC$63,assumptions!AC$2,baseCase_installedCap!$B13:$BC13)</f>
        <v>401406</v>
      </c>
      <c r="AD15" s="1">
        <f>AVERAGEIF(baseCase_installedCap!$B$63:$BC$63,assumptions!AD$2,baseCase_installedCap!$B13:$BC13)</f>
        <v>401406</v>
      </c>
      <c r="AE15" s="1">
        <f>AVERAGEIF(baseCase_installedCap!$B$63:$BC$63,assumptions!AE$2,baseCase_installedCap!$B13:$BC13)</f>
        <v>401406</v>
      </c>
      <c r="AF15" s="1">
        <f>AVERAGEIF(baseCase_installedCap!$B$63:$BC$63,assumptions!AF$2,baseCase_installedCap!$B13:$BC13)</f>
        <v>401406</v>
      </c>
      <c r="AG15" s="1">
        <f>AVERAGEIF(baseCase_installedCap!$B$63:$BC$63,assumptions!AG$2,baseCase_installedCap!$B13:$BC13)</f>
        <v>401406</v>
      </c>
      <c r="AH15" s="1">
        <f>AVERAGEIF(baseCase_installedCap!$B$63:$BC$63,assumptions!AH$2,baseCase_installedCap!$B13:$BC13)</f>
        <v>401406</v>
      </c>
      <c r="AI15" s="1">
        <f>AVERAGEIF(baseCase_installedCap!$B$63:$BC$63,assumptions!AI$2,baseCase_installedCap!$B13:$BC13)</f>
        <v>401406</v>
      </c>
      <c r="AJ15" s="1">
        <f>AVERAGEIF(baseCase_installedCap!$B$63:$BC$63,assumptions!AJ$2,baseCase_installedCap!$B13:$BC13)</f>
        <v>401406</v>
      </c>
      <c r="AL15" s="1">
        <f>AVERAGEIF(baseCase_percMembers!$B$63:$BC$63,assumptions!AL$2,baseCase_percMembers!$B13:$BC13)</f>
        <v>1.01</v>
      </c>
      <c r="AM15" s="1">
        <f>AVERAGEIF(baseCase_percMembers!$B$63:$BC$63,assumptions!AM$2,baseCase_percMembers!$B13:$BC13)</f>
        <v>1.01</v>
      </c>
      <c r="AN15" s="1">
        <f>AVERAGEIF(baseCase_percMembers!$B$63:$BC$63,assumptions!AN$2,baseCase_percMembers!$B13:$BC13)</f>
        <v>1.01</v>
      </c>
      <c r="AO15" s="1">
        <f>AVERAGEIF(baseCase_percMembers!$B$63:$BC$63,assumptions!AO$2,baseCase_percMembers!$B13:$BC13)</f>
        <v>1.01</v>
      </c>
      <c r="AP15" s="1">
        <f>AVERAGEIF(baseCase_percMembers!$B$63:$BC$63,assumptions!AP$2,baseCase_percMembers!$B13:$BC13)</f>
        <v>1.01</v>
      </c>
      <c r="AQ15" s="1">
        <f>AVERAGEIF(baseCase_percMembers!$B$63:$BC$63,assumptions!AQ$2,baseCase_percMembers!$B13:$BC13)</f>
        <v>1.01</v>
      </c>
      <c r="AR15" s="1">
        <f>AVERAGEIF(baseCase_percMembers!$B$63:$BC$63,assumptions!AR$2,baseCase_percMembers!$B13:$BC13)</f>
        <v>1.01</v>
      </c>
      <c r="AS15" s="1">
        <f>AVERAGEIF(baseCase_percMembers!$B$63:$BC$63,assumptions!AS$2,baseCase_percMembers!$B13:$BC13)</f>
        <v>1.01</v>
      </c>
      <c r="AT15" s="1">
        <f>AVERAGEIF(baseCase_percMembers!$B$63:$BC$63,assumptions!AT$2,baseCase_percMembers!$B13:$BC13)</f>
        <v>1.01</v>
      </c>
    </row>
    <row r="16" spans="1:46" x14ac:dyDescent="0.3">
      <c r="G16">
        <v>2021</v>
      </c>
      <c r="H16" s="1">
        <f>AVERAGEIF(baseCase_projects!$B$63:$BC$63,assumptions!H$2,baseCase_projects!$B14:$BC14)</f>
        <v>1025</v>
      </c>
      <c r="I16" s="1">
        <f>AVERAGEIF(baseCase_projects!$B$63:$BC$63,assumptions!I$2,baseCase_projects!$B14:$BC14)</f>
        <v>1025</v>
      </c>
      <c r="J16" s="1">
        <f>AVERAGEIF(baseCase_projects!$B$63:$BC$63,assumptions!J$2,baseCase_projects!$B14:$BC14)</f>
        <v>1025</v>
      </c>
      <c r="K16" s="1">
        <f>AVERAGEIF(baseCase_projects!$B$63:$BC$63,assumptions!K$2,baseCase_projects!$B14:$BC14)</f>
        <v>1025</v>
      </c>
      <c r="L16" s="1">
        <f>AVERAGEIF(baseCase_projects!$B$63:$BC$63,assumptions!L$2,baseCase_projects!$B14:$BC14)</f>
        <v>1025</v>
      </c>
      <c r="M16" s="1">
        <f>AVERAGEIF(baseCase_projects!$B$63:$BC$63,assumptions!M$2,baseCase_projects!$B14:$BC14)</f>
        <v>1025</v>
      </c>
      <c r="N16" s="1">
        <f>AVERAGEIF(baseCase_projects!$B$63:$BC$63,assumptions!N$2,baseCase_projects!$B14:$BC14)</f>
        <v>1025</v>
      </c>
      <c r="O16" s="1">
        <f>AVERAGEIF(baseCase_projects!$B$63:$BC$63,assumptions!O$2,baseCase_projects!$B14:$BC14)</f>
        <v>1025</v>
      </c>
      <c r="P16" s="1">
        <f>AVERAGEIF(baseCase_projects!$B$63:$BC$63,assumptions!P$2,baseCase_projects!$B14:$BC14)</f>
        <v>1025</v>
      </c>
      <c r="R16" s="1">
        <f>AVERAGEIF(baseCase_ECs!$B$63:$BC$63,assumptions!R$2,baseCase_ECs!$B14:$BC14)</f>
        <v>663</v>
      </c>
      <c r="S16" s="1">
        <f>AVERAGEIF(baseCase_ECs!$B$63:$BC$63,assumptions!S$2,baseCase_ECs!$B14:$BC14)</f>
        <v>663</v>
      </c>
      <c r="T16" s="1">
        <f>AVERAGEIF(baseCase_ECs!$B$63:$BC$63,assumptions!T$2,baseCase_ECs!$B14:$BC14)</f>
        <v>663</v>
      </c>
      <c r="U16" s="1">
        <f>AVERAGEIF(baseCase_ECs!$B$63:$BC$63,assumptions!U$2,baseCase_ECs!$B14:$BC14)</f>
        <v>663</v>
      </c>
      <c r="V16" s="1">
        <f>AVERAGEIF(baseCase_ECs!$B$63:$BC$63,assumptions!V$2,baseCase_ECs!$B14:$BC14)</f>
        <v>663</v>
      </c>
      <c r="W16" s="1">
        <f>AVERAGEIF(baseCase_ECs!$B$63:$BC$63,assumptions!W$2,baseCase_ECs!$B14:$BC14)</f>
        <v>663</v>
      </c>
      <c r="X16" s="1">
        <f>AVERAGEIF(baseCase_ECs!$B$63:$BC$63,assumptions!X$2,baseCase_ECs!$B14:$BC14)</f>
        <v>663</v>
      </c>
      <c r="Y16" s="1">
        <f>AVERAGEIF(baseCase_ECs!$B$63:$BC$63,assumptions!Y$2,baseCase_ECs!$B14:$BC14)</f>
        <v>663</v>
      </c>
      <c r="Z16" s="1">
        <f>AVERAGEIF(baseCase_ECs!$B$63:$BC$63,assumptions!Z$2,baseCase_ECs!$B14:$BC14)</f>
        <v>663</v>
      </c>
      <c r="AB16" s="1">
        <f>AVERAGEIF(baseCase_installedCap!$B$63:$BC$63,assumptions!AB$2,baseCase_installedCap!$B14:$BC14)</f>
        <v>458175</v>
      </c>
      <c r="AC16" s="1">
        <f>AVERAGEIF(baseCase_installedCap!$B$63:$BC$63,assumptions!AC$2,baseCase_installedCap!$B14:$BC14)</f>
        <v>458175</v>
      </c>
      <c r="AD16" s="1">
        <f>AVERAGEIF(baseCase_installedCap!$B$63:$BC$63,assumptions!AD$2,baseCase_installedCap!$B14:$BC14)</f>
        <v>458175</v>
      </c>
      <c r="AE16" s="1">
        <f>AVERAGEIF(baseCase_installedCap!$B$63:$BC$63,assumptions!AE$2,baseCase_installedCap!$B14:$BC14)</f>
        <v>458175</v>
      </c>
      <c r="AF16" s="1">
        <f>AVERAGEIF(baseCase_installedCap!$B$63:$BC$63,assumptions!AF$2,baseCase_installedCap!$B14:$BC14)</f>
        <v>458175</v>
      </c>
      <c r="AG16" s="1">
        <f>AVERAGEIF(baseCase_installedCap!$B$63:$BC$63,assumptions!AG$2,baseCase_installedCap!$B14:$BC14)</f>
        <v>458175</v>
      </c>
      <c r="AH16" s="1">
        <f>AVERAGEIF(baseCase_installedCap!$B$63:$BC$63,assumptions!AH$2,baseCase_installedCap!$B14:$BC14)</f>
        <v>458175</v>
      </c>
      <c r="AI16" s="1">
        <f>AVERAGEIF(baseCase_installedCap!$B$63:$BC$63,assumptions!AI$2,baseCase_installedCap!$B14:$BC14)</f>
        <v>458175</v>
      </c>
      <c r="AJ16" s="1">
        <f>AVERAGEIF(baseCase_installedCap!$B$63:$BC$63,assumptions!AJ$2,baseCase_installedCap!$B14:$BC14)</f>
        <v>458175</v>
      </c>
      <c r="AL16" s="1">
        <f>AVERAGEIF(baseCase_percMembers!$B$63:$BC$63,assumptions!AL$2,baseCase_percMembers!$B14:$BC14)</f>
        <v>1.153</v>
      </c>
      <c r="AM16" s="1">
        <f>AVERAGEIF(baseCase_percMembers!$B$63:$BC$63,assumptions!AM$2,baseCase_percMembers!$B14:$BC14)</f>
        <v>1.153</v>
      </c>
      <c r="AN16" s="1">
        <f>AVERAGEIF(baseCase_percMembers!$B$63:$BC$63,assumptions!AN$2,baseCase_percMembers!$B14:$BC14)</f>
        <v>1.153</v>
      </c>
      <c r="AO16" s="1">
        <f>AVERAGEIF(baseCase_percMembers!$B$63:$BC$63,assumptions!AO$2,baseCase_percMembers!$B14:$BC14)</f>
        <v>1.153</v>
      </c>
      <c r="AP16" s="1">
        <f>AVERAGEIF(baseCase_percMembers!$B$63:$BC$63,assumptions!AP$2,baseCase_percMembers!$B14:$BC14)</f>
        <v>1.153</v>
      </c>
      <c r="AQ16" s="1">
        <f>AVERAGEIF(baseCase_percMembers!$B$63:$BC$63,assumptions!AQ$2,baseCase_percMembers!$B14:$BC14)</f>
        <v>1.153</v>
      </c>
      <c r="AR16" s="1">
        <f>AVERAGEIF(baseCase_percMembers!$B$63:$BC$63,assumptions!AR$2,baseCase_percMembers!$B14:$BC14)</f>
        <v>1.153</v>
      </c>
      <c r="AS16" s="1">
        <f>AVERAGEIF(baseCase_percMembers!$B$63:$BC$63,assumptions!AS$2,baseCase_percMembers!$B14:$BC14)</f>
        <v>1.153</v>
      </c>
      <c r="AT16" s="1">
        <f>AVERAGEIF(baseCase_percMembers!$B$63:$BC$63,assumptions!AT$2,baseCase_percMembers!$B14:$BC14)</f>
        <v>1.153</v>
      </c>
    </row>
    <row r="17" spans="7:46" x14ac:dyDescent="0.3">
      <c r="G17">
        <v>2022</v>
      </c>
      <c r="H17" s="1">
        <f>AVERAGEIF(baseCase_projects!$B$63:$BC$63,assumptions!H$2,baseCase_projects!$B15:$BC15)</f>
        <v>1210</v>
      </c>
      <c r="I17" s="1">
        <f>AVERAGEIF(baseCase_projects!$B$63:$BC$63,assumptions!I$2,baseCase_projects!$B15:$BC15)</f>
        <v>1210</v>
      </c>
      <c r="J17" s="1">
        <f>AVERAGEIF(baseCase_projects!$B$63:$BC$63,assumptions!J$2,baseCase_projects!$B15:$BC15)</f>
        <v>1210</v>
      </c>
      <c r="K17" s="1">
        <f>AVERAGEIF(baseCase_projects!$B$63:$BC$63,assumptions!K$2,baseCase_projects!$B15:$BC15)</f>
        <v>1210</v>
      </c>
      <c r="L17" s="1">
        <f>AVERAGEIF(baseCase_projects!$B$63:$BC$63,assumptions!L$2,baseCase_projects!$B15:$BC15)</f>
        <v>1210</v>
      </c>
      <c r="M17" s="1">
        <f>AVERAGEIF(baseCase_projects!$B$63:$BC$63,assumptions!M$2,baseCase_projects!$B15:$BC15)</f>
        <v>1210</v>
      </c>
      <c r="N17" s="1">
        <f>AVERAGEIF(baseCase_projects!$B$63:$BC$63,assumptions!N$2,baseCase_projects!$B15:$BC15)</f>
        <v>1210</v>
      </c>
      <c r="O17" s="1">
        <f>AVERAGEIF(baseCase_projects!$B$63:$BC$63,assumptions!O$2,baseCase_projects!$B15:$BC15)</f>
        <v>1210</v>
      </c>
      <c r="P17" s="1">
        <f>AVERAGEIF(baseCase_projects!$B$63:$BC$63,assumptions!P$2,baseCase_projects!$B15:$BC15)</f>
        <v>1210</v>
      </c>
      <c r="R17" s="1">
        <f>AVERAGEIF(baseCase_ECs!$B$63:$BC$63,assumptions!R$2,baseCase_ECs!$B15:$BC15)</f>
        <v>688</v>
      </c>
      <c r="S17" s="1">
        <f>AVERAGEIF(baseCase_ECs!$B$63:$BC$63,assumptions!S$2,baseCase_ECs!$B15:$BC15)</f>
        <v>688</v>
      </c>
      <c r="T17" s="1">
        <f>AVERAGEIF(baseCase_ECs!$B$63:$BC$63,assumptions!T$2,baseCase_ECs!$B15:$BC15)</f>
        <v>688</v>
      </c>
      <c r="U17" s="1">
        <f>AVERAGEIF(baseCase_ECs!$B$63:$BC$63,assumptions!U$2,baseCase_ECs!$B15:$BC15)</f>
        <v>688</v>
      </c>
      <c r="V17" s="1">
        <f>AVERAGEIF(baseCase_ECs!$B$63:$BC$63,assumptions!V$2,baseCase_ECs!$B15:$BC15)</f>
        <v>688</v>
      </c>
      <c r="W17" s="1">
        <f>AVERAGEIF(baseCase_ECs!$B$63:$BC$63,assumptions!W$2,baseCase_ECs!$B15:$BC15)</f>
        <v>688</v>
      </c>
      <c r="X17" s="1">
        <f>AVERAGEIF(baseCase_ECs!$B$63:$BC$63,assumptions!X$2,baseCase_ECs!$B15:$BC15)</f>
        <v>688</v>
      </c>
      <c r="Y17" s="1">
        <f>AVERAGEIF(baseCase_ECs!$B$63:$BC$63,assumptions!Y$2,baseCase_ECs!$B15:$BC15)</f>
        <v>688</v>
      </c>
      <c r="Z17" s="1">
        <f>AVERAGEIF(baseCase_ECs!$B$63:$BC$63,assumptions!Z$2,baseCase_ECs!$B15:$BC15)</f>
        <v>688</v>
      </c>
      <c r="AB17" s="1">
        <f>AVERAGEIF(baseCase_installedCap!$B$63:$BC$63,assumptions!AB$2,baseCase_installedCap!$B15:$BC15)</f>
        <v>540870</v>
      </c>
      <c r="AC17" s="1">
        <f>AVERAGEIF(baseCase_installedCap!$B$63:$BC$63,assumptions!AC$2,baseCase_installedCap!$B15:$BC15)</f>
        <v>540870</v>
      </c>
      <c r="AD17" s="1">
        <f>AVERAGEIF(baseCase_installedCap!$B$63:$BC$63,assumptions!AD$2,baseCase_installedCap!$B15:$BC15)</f>
        <v>540870</v>
      </c>
      <c r="AE17" s="1">
        <f>AVERAGEIF(baseCase_installedCap!$B$63:$BC$63,assumptions!AE$2,baseCase_installedCap!$B15:$BC15)</f>
        <v>540870</v>
      </c>
      <c r="AF17" s="1">
        <f>AVERAGEIF(baseCase_installedCap!$B$63:$BC$63,assumptions!AF$2,baseCase_installedCap!$B15:$BC15)</f>
        <v>540870</v>
      </c>
      <c r="AG17" s="1">
        <f>AVERAGEIF(baseCase_installedCap!$B$63:$BC$63,assumptions!AG$2,baseCase_installedCap!$B15:$BC15)</f>
        <v>540870</v>
      </c>
      <c r="AH17" s="1">
        <f>AVERAGEIF(baseCase_installedCap!$B$63:$BC$63,assumptions!AH$2,baseCase_installedCap!$B15:$BC15)</f>
        <v>540870</v>
      </c>
      <c r="AI17" s="1">
        <f>AVERAGEIF(baseCase_installedCap!$B$63:$BC$63,assumptions!AI$2,baseCase_installedCap!$B15:$BC15)</f>
        <v>540870</v>
      </c>
      <c r="AJ17" s="1">
        <f>AVERAGEIF(baseCase_installedCap!$B$63:$BC$63,assumptions!AJ$2,baseCase_installedCap!$B15:$BC15)</f>
        <v>540870</v>
      </c>
      <c r="AL17" s="1">
        <f>AVERAGEIF(baseCase_percMembers!$B$63:$BC$63,assumptions!AL$2,baseCase_percMembers!$B15:$BC15)</f>
        <v>1.361</v>
      </c>
      <c r="AM17" s="1">
        <f>AVERAGEIF(baseCase_percMembers!$B$63:$BC$63,assumptions!AM$2,baseCase_percMembers!$B15:$BC15)</f>
        <v>1.361</v>
      </c>
      <c r="AN17" s="1">
        <f>AVERAGEIF(baseCase_percMembers!$B$63:$BC$63,assumptions!AN$2,baseCase_percMembers!$B15:$BC15)</f>
        <v>1.361</v>
      </c>
      <c r="AO17" s="1">
        <f>AVERAGEIF(baseCase_percMembers!$B$63:$BC$63,assumptions!AO$2,baseCase_percMembers!$B15:$BC15)</f>
        <v>1.361</v>
      </c>
      <c r="AP17" s="1">
        <f>AVERAGEIF(baseCase_percMembers!$B$63:$BC$63,assumptions!AP$2,baseCase_percMembers!$B15:$BC15)</f>
        <v>1.361</v>
      </c>
      <c r="AQ17" s="1">
        <f>AVERAGEIF(baseCase_percMembers!$B$63:$BC$63,assumptions!AQ$2,baseCase_percMembers!$B15:$BC15)</f>
        <v>1.361</v>
      </c>
      <c r="AR17" s="1">
        <f>AVERAGEIF(baseCase_percMembers!$B$63:$BC$63,assumptions!AR$2,baseCase_percMembers!$B15:$BC15)</f>
        <v>1.361</v>
      </c>
      <c r="AS17" s="1">
        <f>AVERAGEIF(baseCase_percMembers!$B$63:$BC$63,assumptions!AS$2,baseCase_percMembers!$B15:$BC15)</f>
        <v>1.361</v>
      </c>
      <c r="AT17" s="1">
        <f>AVERAGEIF(baseCase_percMembers!$B$63:$BC$63,assumptions!AT$2,baseCase_percMembers!$B15:$BC15)</f>
        <v>1.361</v>
      </c>
    </row>
    <row r="18" spans="7:46" x14ac:dyDescent="0.3">
      <c r="G18">
        <v>2023</v>
      </c>
      <c r="H18" s="1">
        <f>AVERAGEIF(baseCase_projects!$B$63:$BC$63,assumptions!H$2,baseCase_projects!$B16:$BC16)</f>
        <v>1374</v>
      </c>
      <c r="I18" s="1">
        <f>AVERAGEIF(baseCase_projects!$B$63:$BC$63,assumptions!I$2,baseCase_projects!$B16:$BC16)</f>
        <v>1374</v>
      </c>
      <c r="J18" s="1">
        <f>AVERAGEIF(baseCase_projects!$B$63:$BC$63,assumptions!J$2,baseCase_projects!$B16:$BC16)</f>
        <v>1374</v>
      </c>
      <c r="K18" s="1">
        <f>AVERAGEIF(baseCase_projects!$B$63:$BC$63,assumptions!K$2,baseCase_projects!$B16:$BC16)</f>
        <v>1374</v>
      </c>
      <c r="L18" s="1">
        <f>AVERAGEIF(baseCase_projects!$B$63:$BC$63,assumptions!L$2,baseCase_projects!$B16:$BC16)</f>
        <v>1374</v>
      </c>
      <c r="M18" s="1">
        <f>AVERAGEIF(baseCase_projects!$B$63:$BC$63,assumptions!M$2,baseCase_projects!$B16:$BC16)</f>
        <v>1374</v>
      </c>
      <c r="N18" s="1">
        <f>AVERAGEIF(baseCase_projects!$B$63:$BC$63,assumptions!N$2,baseCase_projects!$B16:$BC16)</f>
        <v>1374</v>
      </c>
      <c r="O18" s="1">
        <f>AVERAGEIF(baseCase_projects!$B$63:$BC$63,assumptions!O$2,baseCase_projects!$B16:$BC16)</f>
        <v>1374</v>
      </c>
      <c r="P18" s="1">
        <f>AVERAGEIF(baseCase_projects!$B$63:$BC$63,assumptions!P$2,baseCase_projects!$B16:$BC16)</f>
        <v>1374</v>
      </c>
      <c r="R18" s="1">
        <f>AVERAGEIF(baseCase_ECs!$B$63:$BC$63,assumptions!R$2,baseCase_ECs!$B16:$BC16)</f>
        <v>692</v>
      </c>
      <c r="S18" s="1">
        <f>AVERAGEIF(baseCase_ECs!$B$63:$BC$63,assumptions!S$2,baseCase_ECs!$B16:$BC16)</f>
        <v>692</v>
      </c>
      <c r="T18" s="1">
        <f>AVERAGEIF(baseCase_ECs!$B$63:$BC$63,assumptions!T$2,baseCase_ECs!$B16:$BC16)</f>
        <v>692</v>
      </c>
      <c r="U18" s="1">
        <f>AVERAGEIF(baseCase_ECs!$B$63:$BC$63,assumptions!U$2,baseCase_ECs!$B16:$BC16)</f>
        <v>692</v>
      </c>
      <c r="V18" s="1">
        <f>AVERAGEIF(baseCase_ECs!$B$63:$BC$63,assumptions!V$2,baseCase_ECs!$B16:$BC16)</f>
        <v>692</v>
      </c>
      <c r="W18" s="1">
        <f>AVERAGEIF(baseCase_ECs!$B$63:$BC$63,assumptions!W$2,baseCase_ECs!$B16:$BC16)</f>
        <v>692</v>
      </c>
      <c r="X18" s="1">
        <f>AVERAGEIF(baseCase_ECs!$B$63:$BC$63,assumptions!X$2,baseCase_ECs!$B16:$BC16)</f>
        <v>692</v>
      </c>
      <c r="Y18" s="1">
        <f>AVERAGEIF(baseCase_ECs!$B$63:$BC$63,assumptions!Y$2,baseCase_ECs!$B16:$BC16)</f>
        <v>692</v>
      </c>
      <c r="Z18" s="1">
        <f>AVERAGEIF(baseCase_ECs!$B$63:$BC$63,assumptions!Z$2,baseCase_ECs!$B16:$BC16)</f>
        <v>692</v>
      </c>
      <c r="AB18" s="1">
        <f>AVERAGEIF(baseCase_installedCap!$B$63:$BC$63,assumptions!AB$2,baseCase_installedCap!$B16:$BC16)</f>
        <v>614178</v>
      </c>
      <c r="AC18" s="1">
        <f>AVERAGEIF(baseCase_installedCap!$B$63:$BC$63,assumptions!AC$2,baseCase_installedCap!$B16:$BC16)</f>
        <v>614178</v>
      </c>
      <c r="AD18" s="1">
        <f>AVERAGEIF(baseCase_installedCap!$B$63:$BC$63,assumptions!AD$2,baseCase_installedCap!$B16:$BC16)</f>
        <v>614178</v>
      </c>
      <c r="AE18" s="1">
        <f>AVERAGEIF(baseCase_installedCap!$B$63:$BC$63,assumptions!AE$2,baseCase_installedCap!$B16:$BC16)</f>
        <v>614178</v>
      </c>
      <c r="AF18" s="1">
        <f>AVERAGEIF(baseCase_installedCap!$B$63:$BC$63,assumptions!AF$2,baseCase_installedCap!$B16:$BC16)</f>
        <v>614178</v>
      </c>
      <c r="AG18" s="1">
        <f>AVERAGEIF(baseCase_installedCap!$B$63:$BC$63,assumptions!AG$2,baseCase_installedCap!$B16:$BC16)</f>
        <v>614178</v>
      </c>
      <c r="AH18" s="1">
        <f>AVERAGEIF(baseCase_installedCap!$B$63:$BC$63,assumptions!AH$2,baseCase_installedCap!$B16:$BC16)</f>
        <v>614178</v>
      </c>
      <c r="AI18" s="1">
        <f>AVERAGEIF(baseCase_installedCap!$B$63:$BC$63,assumptions!AI$2,baseCase_installedCap!$B16:$BC16)</f>
        <v>614178</v>
      </c>
      <c r="AJ18" s="1">
        <f>AVERAGEIF(baseCase_installedCap!$B$63:$BC$63,assumptions!AJ$2,baseCase_installedCap!$B16:$BC16)</f>
        <v>614178</v>
      </c>
      <c r="AL18" s="1">
        <f>AVERAGEIF(baseCase_percMembers!$B$63:$BC$63,assumptions!AL$2,baseCase_percMembers!$B16:$BC16)</f>
        <v>1.5449999999999999</v>
      </c>
      <c r="AM18" s="1">
        <f>AVERAGEIF(baseCase_percMembers!$B$63:$BC$63,assumptions!AM$2,baseCase_percMembers!$B16:$BC16)</f>
        <v>1.5449999999999999</v>
      </c>
      <c r="AN18" s="1">
        <f>AVERAGEIF(baseCase_percMembers!$B$63:$BC$63,assumptions!AN$2,baseCase_percMembers!$B16:$BC16)</f>
        <v>1.5449999999999999</v>
      </c>
      <c r="AO18" s="1">
        <f>AVERAGEIF(baseCase_percMembers!$B$63:$BC$63,assumptions!AO$2,baseCase_percMembers!$B16:$BC16)</f>
        <v>1.5449999999999999</v>
      </c>
      <c r="AP18" s="1">
        <f>AVERAGEIF(baseCase_percMembers!$B$63:$BC$63,assumptions!AP$2,baseCase_percMembers!$B16:$BC16)</f>
        <v>1.5449999999999999</v>
      </c>
      <c r="AQ18" s="1">
        <f>AVERAGEIF(baseCase_percMembers!$B$63:$BC$63,assumptions!AQ$2,baseCase_percMembers!$B16:$BC16)</f>
        <v>1.5449999999999999</v>
      </c>
      <c r="AR18" s="1">
        <f>AVERAGEIF(baseCase_percMembers!$B$63:$BC$63,assumptions!AR$2,baseCase_percMembers!$B16:$BC16)</f>
        <v>1.5449999999999999</v>
      </c>
      <c r="AS18" s="1">
        <f>AVERAGEIF(baseCase_percMembers!$B$63:$BC$63,assumptions!AS$2,baseCase_percMembers!$B16:$BC16)</f>
        <v>1.5449999999999999</v>
      </c>
      <c r="AT18" s="1">
        <f>AVERAGEIF(baseCase_percMembers!$B$63:$BC$63,assumptions!AT$2,baseCase_percMembers!$B16:$BC16)</f>
        <v>1.5449999999999999</v>
      </c>
    </row>
    <row r="19" spans="7:46" x14ac:dyDescent="0.3">
      <c r="G19">
        <v>2024</v>
      </c>
      <c r="H19" s="1">
        <f>AVERAGEIF(baseCase_projects!$B$63:$BC$63,assumptions!H$2,baseCase_projects!$B17:$BC17)</f>
        <v>1486</v>
      </c>
      <c r="I19" s="1">
        <f>AVERAGEIF(baseCase_projects!$B$63:$BC$63,assumptions!I$2,baseCase_projects!$B17:$BC17)</f>
        <v>1486</v>
      </c>
      <c r="J19" s="1">
        <f>AVERAGEIF(baseCase_projects!$B$63:$BC$63,assumptions!J$2,baseCase_projects!$B17:$BC17)</f>
        <v>1486</v>
      </c>
      <c r="K19" s="1">
        <f>AVERAGEIF(baseCase_projects!$B$63:$BC$63,assumptions!K$2,baseCase_projects!$B17:$BC17)</f>
        <v>1486</v>
      </c>
      <c r="L19" s="1">
        <f>AVERAGEIF(baseCase_projects!$B$63:$BC$63,assumptions!L$2,baseCase_projects!$B17:$BC17)</f>
        <v>1486</v>
      </c>
      <c r="M19" s="1">
        <f>AVERAGEIF(baseCase_projects!$B$63:$BC$63,assumptions!M$2,baseCase_projects!$B17:$BC17)</f>
        <v>1486</v>
      </c>
      <c r="N19" s="1">
        <f>AVERAGEIF(baseCase_projects!$B$63:$BC$63,assumptions!N$2,baseCase_projects!$B17:$BC17)</f>
        <v>1486</v>
      </c>
      <c r="O19" s="1">
        <f>AVERAGEIF(baseCase_projects!$B$63:$BC$63,assumptions!O$2,baseCase_projects!$B17:$BC17)</f>
        <v>1486</v>
      </c>
      <c r="P19" s="1">
        <f>AVERAGEIF(baseCase_projects!$B$63:$BC$63,assumptions!P$2,baseCase_projects!$B17:$BC17)</f>
        <v>1486</v>
      </c>
      <c r="R19" s="1">
        <f>AVERAGEIF(baseCase_ECs!$B$63:$BC$63,assumptions!R$2,baseCase_ECs!$B17:$BC17)</f>
        <v>708</v>
      </c>
      <c r="S19" s="1">
        <f>AVERAGEIF(baseCase_ECs!$B$63:$BC$63,assumptions!S$2,baseCase_ECs!$B17:$BC17)</f>
        <v>708</v>
      </c>
      <c r="T19" s="1">
        <f>AVERAGEIF(baseCase_ECs!$B$63:$BC$63,assumptions!T$2,baseCase_ECs!$B17:$BC17)</f>
        <v>708</v>
      </c>
      <c r="U19" s="1">
        <f>AVERAGEIF(baseCase_ECs!$B$63:$BC$63,assumptions!U$2,baseCase_ECs!$B17:$BC17)</f>
        <v>708</v>
      </c>
      <c r="V19" s="1">
        <f>AVERAGEIF(baseCase_ECs!$B$63:$BC$63,assumptions!V$2,baseCase_ECs!$B17:$BC17)</f>
        <v>708</v>
      </c>
      <c r="W19" s="1">
        <f>AVERAGEIF(baseCase_ECs!$B$63:$BC$63,assumptions!W$2,baseCase_ECs!$B17:$BC17)</f>
        <v>708</v>
      </c>
      <c r="X19" s="1">
        <f>AVERAGEIF(baseCase_ECs!$B$63:$BC$63,assumptions!X$2,baseCase_ECs!$B17:$BC17)</f>
        <v>708</v>
      </c>
      <c r="Y19" s="1">
        <f>AVERAGEIF(baseCase_ECs!$B$63:$BC$63,assumptions!Y$2,baseCase_ECs!$B17:$BC17)</f>
        <v>708</v>
      </c>
      <c r="Z19" s="1">
        <f>AVERAGEIF(baseCase_ECs!$B$63:$BC$63,assumptions!Z$2,baseCase_ECs!$B17:$BC17)</f>
        <v>708</v>
      </c>
      <c r="AB19" s="1">
        <f>AVERAGEIF(baseCase_installedCap!$B$63:$BC$63,assumptions!AB$2,baseCase_installedCap!$B17:$BC17)</f>
        <v>664242</v>
      </c>
      <c r="AC19" s="1">
        <f>AVERAGEIF(baseCase_installedCap!$B$63:$BC$63,assumptions!AC$2,baseCase_installedCap!$B17:$BC17)</f>
        <v>664242</v>
      </c>
      <c r="AD19" s="1">
        <f>AVERAGEIF(baseCase_installedCap!$B$63:$BC$63,assumptions!AD$2,baseCase_installedCap!$B17:$BC17)</f>
        <v>664242</v>
      </c>
      <c r="AE19" s="1">
        <f>AVERAGEIF(baseCase_installedCap!$B$63:$BC$63,assumptions!AE$2,baseCase_installedCap!$B17:$BC17)</f>
        <v>664242</v>
      </c>
      <c r="AF19" s="1">
        <f>AVERAGEIF(baseCase_installedCap!$B$63:$BC$63,assumptions!AF$2,baseCase_installedCap!$B17:$BC17)</f>
        <v>664242</v>
      </c>
      <c r="AG19" s="1">
        <f>AVERAGEIF(baseCase_installedCap!$B$63:$BC$63,assumptions!AG$2,baseCase_installedCap!$B17:$BC17)</f>
        <v>664242</v>
      </c>
      <c r="AH19" s="1">
        <f>AVERAGEIF(baseCase_installedCap!$B$63:$BC$63,assumptions!AH$2,baseCase_installedCap!$B17:$BC17)</f>
        <v>664242</v>
      </c>
      <c r="AI19" s="1">
        <f>AVERAGEIF(baseCase_installedCap!$B$63:$BC$63,assumptions!AI$2,baseCase_installedCap!$B17:$BC17)</f>
        <v>664242</v>
      </c>
      <c r="AJ19" s="1">
        <f>AVERAGEIF(baseCase_installedCap!$B$63:$BC$63,assumptions!AJ$2,baseCase_installedCap!$B17:$BC17)</f>
        <v>664242</v>
      </c>
      <c r="AL19" s="1">
        <f>AVERAGEIF(baseCase_percMembers!$B$63:$BC$63,assumptions!AL$2,baseCase_percMembers!$B17:$BC17)</f>
        <v>1.671</v>
      </c>
      <c r="AM19" s="1">
        <f>AVERAGEIF(baseCase_percMembers!$B$63:$BC$63,assumptions!AM$2,baseCase_percMembers!$B17:$BC17)</f>
        <v>1.671</v>
      </c>
      <c r="AN19" s="1">
        <f>AVERAGEIF(baseCase_percMembers!$B$63:$BC$63,assumptions!AN$2,baseCase_percMembers!$B17:$BC17)</f>
        <v>1.671</v>
      </c>
      <c r="AO19" s="1">
        <f>AVERAGEIF(baseCase_percMembers!$B$63:$BC$63,assumptions!AO$2,baseCase_percMembers!$B17:$BC17)</f>
        <v>1.671</v>
      </c>
      <c r="AP19" s="1">
        <f>AVERAGEIF(baseCase_percMembers!$B$63:$BC$63,assumptions!AP$2,baseCase_percMembers!$B17:$BC17)</f>
        <v>1.671</v>
      </c>
      <c r="AQ19" s="1">
        <f>AVERAGEIF(baseCase_percMembers!$B$63:$BC$63,assumptions!AQ$2,baseCase_percMembers!$B17:$BC17)</f>
        <v>1.671</v>
      </c>
      <c r="AR19" s="1">
        <f>AVERAGEIF(baseCase_percMembers!$B$63:$BC$63,assumptions!AR$2,baseCase_percMembers!$B17:$BC17)</f>
        <v>1.671</v>
      </c>
      <c r="AS19" s="1">
        <f>AVERAGEIF(baseCase_percMembers!$B$63:$BC$63,assumptions!AS$2,baseCase_percMembers!$B17:$BC17)</f>
        <v>1.671</v>
      </c>
      <c r="AT19" s="1">
        <f>AVERAGEIF(baseCase_percMembers!$B$63:$BC$63,assumptions!AT$2,baseCase_percMembers!$B17:$BC17)</f>
        <v>1.671</v>
      </c>
    </row>
    <row r="20" spans="7:46" x14ac:dyDescent="0.3">
      <c r="G20">
        <v>2025</v>
      </c>
      <c r="H20" s="1">
        <f>AVERAGEIF(baseCase_projects!$B$63:$BC$63,assumptions!H$2,baseCase_projects!$B18:$BC18)</f>
        <v>1573.4</v>
      </c>
      <c r="I20" s="1">
        <f>AVERAGEIF(baseCase_projects!$B$63:$BC$63,assumptions!I$2,baseCase_projects!$B18:$BC18)</f>
        <v>1573.4</v>
      </c>
      <c r="J20" s="1">
        <f>AVERAGEIF(baseCase_projects!$B$63:$BC$63,assumptions!J$2,baseCase_projects!$B18:$BC18)</f>
        <v>1577.8</v>
      </c>
      <c r="K20" s="1">
        <f>AVERAGEIF(baseCase_projects!$B$63:$BC$63,assumptions!K$2,baseCase_projects!$B18:$BC18)</f>
        <v>1579.6</v>
      </c>
      <c r="L20" s="1">
        <f>AVERAGEIF(baseCase_projects!$B$63:$BC$63,assumptions!L$2,baseCase_projects!$B18:$BC18)</f>
        <v>1568.8</v>
      </c>
      <c r="M20" s="1">
        <f>AVERAGEIF(baseCase_projects!$B$63:$BC$63,assumptions!M$2,baseCase_projects!$B18:$BC18)</f>
        <v>1573.2</v>
      </c>
      <c r="N20" s="1">
        <f>AVERAGEIF(baseCase_projects!$B$63:$BC$63,assumptions!N$2,baseCase_projects!$B18:$BC18)</f>
        <v>1567.2</v>
      </c>
      <c r="O20" s="1">
        <f>AVERAGEIF(baseCase_projects!$B$63:$BC$63,assumptions!O$2,baseCase_projects!$B18:$BC18)</f>
        <v>1584.8</v>
      </c>
      <c r="P20" s="1">
        <f>AVERAGEIF(baseCase_projects!$B$63:$BC$63,assumptions!P$2,baseCase_projects!$B18:$BC18)</f>
        <v>1576.6</v>
      </c>
      <c r="R20" s="1">
        <f>AVERAGEIF(baseCase_ECs!$B$63:$BC$63,assumptions!R$2,baseCase_ECs!$B18:$BC18)</f>
        <v>709.6</v>
      </c>
      <c r="S20" s="1">
        <f>AVERAGEIF(baseCase_ECs!$B$63:$BC$63,assumptions!S$2,baseCase_ECs!$B18:$BC18)</f>
        <v>708.6</v>
      </c>
      <c r="T20" s="1">
        <f>AVERAGEIF(baseCase_ECs!$B$63:$BC$63,assumptions!T$2,baseCase_ECs!$B18:$BC18)</f>
        <v>708.2</v>
      </c>
      <c r="U20" s="1">
        <f>AVERAGEIF(baseCase_ECs!$B$63:$BC$63,assumptions!U$2,baseCase_ECs!$B18:$BC18)</f>
        <v>711.4</v>
      </c>
      <c r="V20" s="1">
        <f>AVERAGEIF(baseCase_ECs!$B$63:$BC$63,assumptions!V$2,baseCase_ECs!$B18:$BC18)</f>
        <v>708.4</v>
      </c>
      <c r="W20" s="1">
        <f>AVERAGEIF(baseCase_ECs!$B$63:$BC$63,assumptions!W$2,baseCase_ECs!$B18:$BC18)</f>
        <v>708</v>
      </c>
      <c r="X20" s="1">
        <f>AVERAGEIF(baseCase_ECs!$B$63:$BC$63,assumptions!X$2,baseCase_ECs!$B18:$BC18)</f>
        <v>708.8</v>
      </c>
      <c r="Y20" s="1">
        <f>AVERAGEIF(baseCase_ECs!$B$63:$BC$63,assumptions!Y$2,baseCase_ECs!$B18:$BC18)</f>
        <v>712.2</v>
      </c>
      <c r="Z20" s="1">
        <f>AVERAGEIF(baseCase_ECs!$B$63:$BC$63,assumptions!Z$2,baseCase_ECs!$B18:$BC18)</f>
        <v>708.2</v>
      </c>
      <c r="AB20" s="1">
        <f>AVERAGEIF(baseCase_installedCap!$B$63:$BC$63,assumptions!AB$2,baseCase_installedCap!$B18:$BC18)</f>
        <v>703309.8</v>
      </c>
      <c r="AC20" s="1">
        <f>AVERAGEIF(baseCase_installedCap!$B$63:$BC$63,assumptions!AC$2,baseCase_installedCap!$B18:$BC18)</f>
        <v>703309.8</v>
      </c>
      <c r="AD20" s="1">
        <f>AVERAGEIF(baseCase_installedCap!$B$63:$BC$63,assumptions!AD$2,baseCase_installedCap!$B18:$BC18)</f>
        <v>705276.6</v>
      </c>
      <c r="AE20" s="1">
        <f>AVERAGEIF(baseCase_installedCap!$B$63:$BC$63,assumptions!AE$2,baseCase_installedCap!$B18:$BC18)</f>
        <v>706081.2</v>
      </c>
      <c r="AF20" s="1">
        <f>AVERAGEIF(baseCase_installedCap!$B$63:$BC$63,assumptions!AF$2,baseCase_installedCap!$B18:$BC18)</f>
        <v>701253.6</v>
      </c>
      <c r="AG20" s="1">
        <f>AVERAGEIF(baseCase_installedCap!$B$63:$BC$63,assumptions!AG$2,baseCase_installedCap!$B18:$BC18)</f>
        <v>703220.4</v>
      </c>
      <c r="AH20" s="1">
        <f>AVERAGEIF(baseCase_installedCap!$B$63:$BC$63,assumptions!AH$2,baseCase_installedCap!$B18:$BC18)</f>
        <v>700538.4</v>
      </c>
      <c r="AI20" s="1">
        <f>AVERAGEIF(baseCase_installedCap!$B$63:$BC$63,assumptions!AI$2,baseCase_installedCap!$B18:$BC18)</f>
        <v>796732.8</v>
      </c>
      <c r="AJ20" s="1">
        <f>AVERAGEIF(baseCase_installedCap!$B$63:$BC$63,assumptions!AJ$2,baseCase_installedCap!$B18:$BC18)</f>
        <v>704740.2</v>
      </c>
      <c r="AL20" s="1">
        <f>AVERAGEIF(baseCase_percMembers!$B$63:$BC$63,assumptions!AL$2,baseCase_percMembers!$B18:$BC18)</f>
        <v>1.7698</v>
      </c>
      <c r="AM20" s="1">
        <f>AVERAGEIF(baseCase_percMembers!$B$63:$BC$63,assumptions!AM$2,baseCase_percMembers!$B18:$BC18)</f>
        <v>1.7695999999999998</v>
      </c>
      <c r="AN20" s="1">
        <f>AVERAGEIF(baseCase_percMembers!$B$63:$BC$63,assumptions!AN$2,baseCase_percMembers!$B18:$BC18)</f>
        <v>1.7744</v>
      </c>
      <c r="AO20" s="1">
        <f>AVERAGEIF(baseCase_percMembers!$B$63:$BC$63,assumptions!AO$2,baseCase_percMembers!$B18:$BC18)</f>
        <v>1.7768000000000002</v>
      </c>
      <c r="AP20" s="1">
        <f>AVERAGEIF(baseCase_percMembers!$B$63:$BC$63,assumptions!AP$2,baseCase_percMembers!$B18:$BC18)</f>
        <v>1.7643999999999997</v>
      </c>
      <c r="AQ20" s="1">
        <f>AVERAGEIF(baseCase_percMembers!$B$63:$BC$63,assumptions!AQ$2,baseCase_percMembers!$B18:$BC18)</f>
        <v>1.7693999999999999</v>
      </c>
      <c r="AR20" s="1">
        <f>AVERAGEIF(baseCase_percMembers!$B$63:$BC$63,assumptions!AR$2,baseCase_percMembers!$B18:$BC18)</f>
        <v>1.7624000000000002</v>
      </c>
      <c r="AS20" s="1">
        <f>AVERAGEIF(baseCase_percMembers!$B$63:$BC$63,assumptions!AS$2,baseCase_percMembers!$B18:$BC18)</f>
        <v>1.7824000000000002</v>
      </c>
      <c r="AT20" s="1">
        <f>AVERAGEIF(baseCase_percMembers!$B$63:$BC$63,assumptions!AT$2,baseCase_percMembers!$B18:$BC18)</f>
        <v>1.7731999999999999</v>
      </c>
    </row>
    <row r="21" spans="7:46" x14ac:dyDescent="0.3">
      <c r="G21">
        <v>2026</v>
      </c>
      <c r="H21" s="1">
        <f>AVERAGEIF(baseCase_projects!$B$63:$BC$63,assumptions!H$2,baseCase_projects!$B19:$BC19)</f>
        <v>1693.6</v>
      </c>
      <c r="I21" s="1">
        <f>AVERAGEIF(baseCase_projects!$B$63:$BC$63,assumptions!I$2,baseCase_projects!$B19:$BC19)</f>
        <v>1961</v>
      </c>
      <c r="J21" s="1">
        <f>AVERAGEIF(baseCase_projects!$B$63:$BC$63,assumptions!J$2,baseCase_projects!$B19:$BC19)</f>
        <v>1980.4</v>
      </c>
      <c r="K21" s="1">
        <f>AVERAGEIF(baseCase_projects!$B$63:$BC$63,assumptions!K$2,baseCase_projects!$B19:$BC19)</f>
        <v>1758.4</v>
      </c>
      <c r="L21" s="1">
        <f>AVERAGEIF(baseCase_projects!$B$63:$BC$63,assumptions!L$2,baseCase_projects!$B19:$BC19)</f>
        <v>1845.6</v>
      </c>
      <c r="M21" s="1">
        <f>AVERAGEIF(baseCase_projects!$B$63:$BC$63,assumptions!M$2,baseCase_projects!$B19:$BC19)</f>
        <v>1974.6</v>
      </c>
      <c r="N21" s="1">
        <f>AVERAGEIF(baseCase_projects!$B$63:$BC$63,assumptions!N$2,baseCase_projects!$B19:$BC19)</f>
        <v>1921.4</v>
      </c>
      <c r="O21" s="1">
        <f>AVERAGEIF(baseCase_projects!$B$63:$BC$63,assumptions!O$2,baseCase_projects!$B19:$BC19)</f>
        <v>1948.2</v>
      </c>
      <c r="P21" s="1">
        <f>AVERAGEIF(baseCase_projects!$B$63:$BC$63,assumptions!P$2,baseCase_projects!$B19:$BC19)</f>
        <v>1678.4</v>
      </c>
      <c r="R21" s="1">
        <f>AVERAGEIF(baseCase_ECs!$B$63:$BC$63,assumptions!R$2,baseCase_ECs!$B19:$BC19)</f>
        <v>711.4</v>
      </c>
      <c r="S21" s="1">
        <f>AVERAGEIF(baseCase_ECs!$B$63:$BC$63,assumptions!S$2,baseCase_ECs!$B19:$BC19)</f>
        <v>764.4</v>
      </c>
      <c r="T21" s="1">
        <f>AVERAGEIF(baseCase_ECs!$B$63:$BC$63,assumptions!T$2,baseCase_ECs!$B19:$BC19)</f>
        <v>757</v>
      </c>
      <c r="U21" s="1">
        <f>AVERAGEIF(baseCase_ECs!$B$63:$BC$63,assumptions!U$2,baseCase_ECs!$B19:$BC19)</f>
        <v>722.4</v>
      </c>
      <c r="V21" s="1">
        <f>AVERAGEIF(baseCase_ECs!$B$63:$BC$63,assumptions!V$2,baseCase_ECs!$B19:$BC19)</f>
        <v>726.4</v>
      </c>
      <c r="W21" s="1">
        <f>AVERAGEIF(baseCase_ECs!$B$63:$BC$63,assumptions!W$2,baseCase_ECs!$B19:$BC19)</f>
        <v>759.8</v>
      </c>
      <c r="X21" s="1">
        <f>AVERAGEIF(baseCase_ECs!$B$63:$BC$63,assumptions!X$2,baseCase_ECs!$B19:$BC19)</f>
        <v>755.8</v>
      </c>
      <c r="Y21" s="1">
        <f>AVERAGEIF(baseCase_ECs!$B$63:$BC$63,assumptions!Y$2,baseCase_ECs!$B19:$BC19)</f>
        <v>772.2</v>
      </c>
      <c r="Z21" s="1">
        <f>AVERAGEIF(baseCase_ECs!$B$63:$BC$63,assumptions!Z$2,baseCase_ECs!$B19:$BC19)</f>
        <v>710.8</v>
      </c>
      <c r="AB21" s="1">
        <f>AVERAGEIF(baseCase_installedCap!$B$63:$BC$63,assumptions!AB$2,baseCase_installedCap!$B19:$BC19)</f>
        <v>757039.2</v>
      </c>
      <c r="AC21" s="1">
        <f>AVERAGEIF(baseCase_installedCap!$B$63:$BC$63,assumptions!AC$2,baseCase_installedCap!$B19:$BC19)</f>
        <v>876567</v>
      </c>
      <c r="AD21" s="1">
        <f>AVERAGEIF(baseCase_installedCap!$B$63:$BC$63,assumptions!AD$2,baseCase_installedCap!$B19:$BC19)</f>
        <v>885238.8</v>
      </c>
      <c r="AE21" s="1">
        <f>AVERAGEIF(baseCase_installedCap!$B$63:$BC$63,assumptions!AE$2,baseCase_installedCap!$B19:$BC19)</f>
        <v>786004.8</v>
      </c>
      <c r="AF21" s="1">
        <f>AVERAGEIF(baseCase_installedCap!$B$63:$BC$63,assumptions!AF$2,baseCase_installedCap!$B19:$BC19)</f>
        <v>824983.2</v>
      </c>
      <c r="AG21" s="1">
        <f>AVERAGEIF(baseCase_installedCap!$B$63:$BC$63,assumptions!AG$2,baseCase_installedCap!$B19:$BC19)</f>
        <v>882646.2</v>
      </c>
      <c r="AH21" s="1">
        <f>AVERAGEIF(baseCase_installedCap!$B$63:$BC$63,assumptions!AH$2,baseCase_installedCap!$B19:$BC19)</f>
        <v>858865.8</v>
      </c>
      <c r="AI21" s="1">
        <f>AVERAGEIF(baseCase_installedCap!$B$63:$BC$63,assumptions!AI$2,baseCase_installedCap!$B19:$BC19)</f>
        <v>1284052.2</v>
      </c>
      <c r="AJ21" s="1">
        <f>AVERAGEIF(baseCase_installedCap!$B$63:$BC$63,assumptions!AJ$2,baseCase_installedCap!$B19:$BC19)</f>
        <v>750244.8</v>
      </c>
      <c r="AL21" s="1">
        <f>AVERAGEIF(baseCase_percMembers!$B$63:$BC$63,assumptions!AL$2,baseCase_percMembers!$B19:$BC19)</f>
        <v>1.905</v>
      </c>
      <c r="AM21" s="1">
        <f>AVERAGEIF(baseCase_percMembers!$B$63:$BC$63,assumptions!AM$2,baseCase_percMembers!$B19:$BC19)</f>
        <v>2.2087999999999997</v>
      </c>
      <c r="AN21" s="1">
        <f>AVERAGEIF(baseCase_percMembers!$B$63:$BC$63,assumptions!AN$2,baseCase_percMembers!$B19:$BC19)</f>
        <v>2.2302</v>
      </c>
      <c r="AO21" s="1">
        <f>AVERAGEIF(baseCase_percMembers!$B$63:$BC$63,assumptions!AO$2,baseCase_percMembers!$B19:$BC19)</f>
        <v>1.9783999999999999</v>
      </c>
      <c r="AP21" s="1">
        <f>AVERAGEIF(baseCase_percMembers!$B$63:$BC$63,assumptions!AP$2,baseCase_percMembers!$B19:$BC19)</f>
        <v>2.0766</v>
      </c>
      <c r="AQ21" s="1">
        <f>AVERAGEIF(baseCase_percMembers!$B$63:$BC$63,assumptions!AQ$2,baseCase_percMembers!$B19:$BC19)</f>
        <v>2.2237999999999998</v>
      </c>
      <c r="AR21" s="1">
        <f>AVERAGEIF(baseCase_percMembers!$B$63:$BC$63,assumptions!AR$2,baseCase_percMembers!$B19:$BC19)</f>
        <v>2.1635999999999997</v>
      </c>
      <c r="AS21" s="1">
        <f>AVERAGEIF(baseCase_percMembers!$B$63:$BC$63,assumptions!AS$2,baseCase_percMembers!$B19:$BC19)</f>
        <v>2.1945999999999999</v>
      </c>
      <c r="AT21" s="1">
        <f>AVERAGEIF(baseCase_percMembers!$B$63:$BC$63,assumptions!AT$2,baseCase_percMembers!$B19:$BC19)</f>
        <v>1.8877999999999999</v>
      </c>
    </row>
    <row r="22" spans="7:46" x14ac:dyDescent="0.3">
      <c r="G22">
        <v>2027</v>
      </c>
      <c r="H22" s="1">
        <f>AVERAGEIF(baseCase_projects!$B$63:$BC$63,assumptions!H$2,baseCase_projects!$B20:$BC20)</f>
        <v>1807.6</v>
      </c>
      <c r="I22" s="1">
        <f>AVERAGEIF(baseCase_projects!$B$63:$BC$63,assumptions!I$2,baseCase_projects!$B20:$BC20)</f>
        <v>2304.8000000000002</v>
      </c>
      <c r="J22" s="1">
        <f>AVERAGEIF(baseCase_projects!$B$63:$BC$63,assumptions!J$2,baseCase_projects!$B20:$BC20)</f>
        <v>2426.8000000000002</v>
      </c>
      <c r="K22" s="1">
        <f>AVERAGEIF(baseCase_projects!$B$63:$BC$63,assumptions!K$2,baseCase_projects!$B20:$BC20)</f>
        <v>2117.6</v>
      </c>
      <c r="L22" s="1">
        <f>AVERAGEIF(baseCase_projects!$B$63:$BC$63,assumptions!L$2,baseCase_projects!$B20:$BC20)</f>
        <v>2331.4</v>
      </c>
      <c r="M22" s="1">
        <f>AVERAGEIF(baseCase_projects!$B$63:$BC$63,assumptions!M$2,baseCase_projects!$B20:$BC20)</f>
        <v>2546.6</v>
      </c>
      <c r="N22" s="1">
        <f>AVERAGEIF(baseCase_projects!$B$63:$BC$63,assumptions!N$2,baseCase_projects!$B20:$BC20)</f>
        <v>2679.2</v>
      </c>
      <c r="O22" s="1">
        <f>AVERAGEIF(baseCase_projects!$B$63:$BC$63,assumptions!O$2,baseCase_projects!$B20:$BC20)</f>
        <v>2767.2</v>
      </c>
      <c r="P22" s="1">
        <f>AVERAGEIF(baseCase_projects!$B$63:$BC$63,assumptions!P$2,baseCase_projects!$B20:$BC20)</f>
        <v>1798.2</v>
      </c>
      <c r="R22" s="1">
        <f>AVERAGEIF(baseCase_ECs!$B$63:$BC$63,assumptions!R$2,baseCase_ECs!$B20:$BC20)</f>
        <v>717.2</v>
      </c>
      <c r="S22" s="1">
        <f>AVERAGEIF(baseCase_ECs!$B$63:$BC$63,assumptions!S$2,baseCase_ECs!$B20:$BC20)</f>
        <v>803.6</v>
      </c>
      <c r="T22" s="1">
        <f>AVERAGEIF(baseCase_ECs!$B$63:$BC$63,assumptions!T$2,baseCase_ECs!$B20:$BC20)</f>
        <v>798.8</v>
      </c>
      <c r="U22" s="1">
        <f>AVERAGEIF(baseCase_ECs!$B$63:$BC$63,assumptions!U$2,baseCase_ECs!$B20:$BC20)</f>
        <v>738.2</v>
      </c>
      <c r="V22" s="1">
        <f>AVERAGEIF(baseCase_ECs!$B$63:$BC$63,assumptions!V$2,baseCase_ECs!$B20:$BC20)</f>
        <v>760.2</v>
      </c>
      <c r="W22" s="1">
        <f>AVERAGEIF(baseCase_ECs!$B$63:$BC$63,assumptions!W$2,baseCase_ECs!$B20:$BC20)</f>
        <v>803.2</v>
      </c>
      <c r="X22" s="1">
        <f>AVERAGEIF(baseCase_ECs!$B$63:$BC$63,assumptions!X$2,baseCase_ECs!$B20:$BC20)</f>
        <v>798.6</v>
      </c>
      <c r="Y22" s="1">
        <f>AVERAGEIF(baseCase_ECs!$B$63:$BC$63,assumptions!Y$2,baseCase_ECs!$B20:$BC20)</f>
        <v>812.4</v>
      </c>
      <c r="Z22" s="1">
        <f>AVERAGEIF(baseCase_ECs!$B$63:$BC$63,assumptions!Z$2,baseCase_ECs!$B20:$BC20)</f>
        <v>714.8</v>
      </c>
      <c r="AB22" s="1">
        <f>AVERAGEIF(baseCase_installedCap!$B$63:$BC$63,assumptions!AB$2,baseCase_installedCap!$B20:$BC20)</f>
        <v>807997.2</v>
      </c>
      <c r="AC22" s="1">
        <f>AVERAGEIF(baseCase_installedCap!$B$63:$BC$63,assumptions!AC$2,baseCase_installedCap!$B20:$BC20)</f>
        <v>1030245.6</v>
      </c>
      <c r="AD22" s="1">
        <f>AVERAGEIF(baseCase_installedCap!$B$63:$BC$63,assumptions!AD$2,baseCase_installedCap!$B20:$BC20)</f>
        <v>1084779.6000000001</v>
      </c>
      <c r="AE22" s="1">
        <f>AVERAGEIF(baseCase_installedCap!$B$63:$BC$63,assumptions!AE$2,baseCase_installedCap!$B20:$BC20)</f>
        <v>946567.2</v>
      </c>
      <c r="AF22" s="1">
        <f>AVERAGEIF(baseCase_installedCap!$B$63:$BC$63,assumptions!AF$2,baseCase_installedCap!$B20:$BC20)</f>
        <v>1042135.8</v>
      </c>
      <c r="AG22" s="1">
        <f>AVERAGEIF(baseCase_installedCap!$B$63:$BC$63,assumptions!AG$2,baseCase_installedCap!$B20:$BC20)</f>
        <v>1138330.2</v>
      </c>
      <c r="AH22" s="1">
        <f>AVERAGEIF(baseCase_installedCap!$B$63:$BC$63,assumptions!AH$2,baseCase_installedCap!$B20:$BC20)</f>
        <v>1197602.3999999999</v>
      </c>
      <c r="AI22" s="1">
        <f>AVERAGEIF(baseCase_installedCap!$B$63:$BC$63,assumptions!AI$2,baseCase_installedCap!$B20:$BC20)</f>
        <v>2382331.2000000002</v>
      </c>
      <c r="AJ22" s="1">
        <f>AVERAGEIF(baseCase_installedCap!$B$63:$BC$63,assumptions!AJ$2,baseCase_installedCap!$B20:$BC20)</f>
        <v>803795.4</v>
      </c>
      <c r="AL22" s="1">
        <f>AVERAGEIF(baseCase_percMembers!$B$63:$BC$63,assumptions!AL$2,baseCase_percMembers!$B20:$BC20)</f>
        <v>2.0335999999999999</v>
      </c>
      <c r="AM22" s="1">
        <f>AVERAGEIF(baseCase_percMembers!$B$63:$BC$63,assumptions!AM$2,baseCase_percMembers!$B20:$BC20)</f>
        <v>2.5972</v>
      </c>
      <c r="AN22" s="1">
        <f>AVERAGEIF(baseCase_percMembers!$B$63:$BC$63,assumptions!AN$2,baseCase_percMembers!$B20:$BC20)</f>
        <v>2.7342000000000004</v>
      </c>
      <c r="AO22" s="1">
        <f>AVERAGEIF(baseCase_percMembers!$B$63:$BC$63,assumptions!AO$2,baseCase_percMembers!$B20:$BC20)</f>
        <v>2.3832</v>
      </c>
      <c r="AP22" s="1">
        <f>AVERAGEIF(baseCase_percMembers!$B$63:$BC$63,assumptions!AP$2,baseCase_percMembers!$B20:$BC20)</f>
        <v>2.6250000000000004</v>
      </c>
      <c r="AQ22" s="1">
        <f>AVERAGEIF(baseCase_percMembers!$B$63:$BC$63,assumptions!AQ$2,baseCase_percMembers!$B20:$BC20)</f>
        <v>2.8690000000000007</v>
      </c>
      <c r="AR22" s="1">
        <f>AVERAGEIF(baseCase_percMembers!$B$63:$BC$63,assumptions!AR$2,baseCase_percMembers!$B20:$BC20)</f>
        <v>3.0182000000000002</v>
      </c>
      <c r="AS22" s="1">
        <f>AVERAGEIF(baseCase_percMembers!$B$63:$BC$63,assumptions!AS$2,baseCase_percMembers!$B20:$BC20)</f>
        <v>3.1176000000000004</v>
      </c>
      <c r="AT22" s="1">
        <f>AVERAGEIF(baseCase_percMembers!$B$63:$BC$63,assumptions!AT$2,baseCase_percMembers!$B20:$BC20)</f>
        <v>2.0228000000000002</v>
      </c>
    </row>
    <row r="23" spans="7:46" x14ac:dyDescent="0.3">
      <c r="G23">
        <v>2028</v>
      </c>
      <c r="H23" s="1">
        <f>AVERAGEIF(baseCase_projects!$B$63:$BC$63,assumptions!H$2,baseCase_projects!$B21:$BC21)</f>
        <v>2021.8</v>
      </c>
      <c r="I23" s="1">
        <f>AVERAGEIF(baseCase_projects!$B$63:$BC$63,assumptions!I$2,baseCase_projects!$B21:$BC21)</f>
        <v>2658.6</v>
      </c>
      <c r="J23" s="1">
        <f>AVERAGEIF(baseCase_projects!$B$63:$BC$63,assumptions!J$2,baseCase_projects!$B21:$BC21)</f>
        <v>2912.8</v>
      </c>
      <c r="K23" s="1">
        <f>AVERAGEIF(baseCase_projects!$B$63:$BC$63,assumptions!K$2,baseCase_projects!$B21:$BC21)</f>
        <v>2678.6</v>
      </c>
      <c r="L23" s="1">
        <f>AVERAGEIF(baseCase_projects!$B$63:$BC$63,assumptions!L$2,baseCase_projects!$B21:$BC21)</f>
        <v>3039</v>
      </c>
      <c r="M23" s="1">
        <f>AVERAGEIF(baseCase_projects!$B$63:$BC$63,assumptions!M$2,baseCase_projects!$B21:$BC21)</f>
        <v>3372.4</v>
      </c>
      <c r="N23" s="1">
        <f>AVERAGEIF(baseCase_projects!$B$63:$BC$63,assumptions!N$2,baseCase_projects!$B21:$BC21)</f>
        <v>4248.8</v>
      </c>
      <c r="O23" s="1">
        <f>AVERAGEIF(baseCase_projects!$B$63:$BC$63,assumptions!O$2,baseCase_projects!$B21:$BC21)</f>
        <v>4293.2</v>
      </c>
      <c r="P23" s="1">
        <f>AVERAGEIF(baseCase_projects!$B$63:$BC$63,assumptions!P$2,baseCase_projects!$B21:$BC21)</f>
        <v>2016.6</v>
      </c>
      <c r="R23" s="1">
        <f>AVERAGEIF(baseCase_ECs!$B$63:$BC$63,assumptions!R$2,baseCase_ECs!$B21:$BC21)</f>
        <v>726.8</v>
      </c>
      <c r="S23" s="1">
        <f>AVERAGEIF(baseCase_ECs!$B$63:$BC$63,assumptions!S$2,baseCase_ECs!$B21:$BC21)</f>
        <v>830</v>
      </c>
      <c r="T23" s="1">
        <f>AVERAGEIF(baseCase_ECs!$B$63:$BC$63,assumptions!T$2,baseCase_ECs!$B21:$BC21)</f>
        <v>827.4</v>
      </c>
      <c r="U23" s="1">
        <f>AVERAGEIF(baseCase_ECs!$B$63:$BC$63,assumptions!U$2,baseCase_ECs!$B21:$BC21)</f>
        <v>755.8</v>
      </c>
      <c r="V23" s="1">
        <f>AVERAGEIF(baseCase_ECs!$B$63:$BC$63,assumptions!V$2,baseCase_ECs!$B21:$BC21)</f>
        <v>785</v>
      </c>
      <c r="W23" s="1">
        <f>AVERAGEIF(baseCase_ECs!$B$63:$BC$63,assumptions!W$2,baseCase_ECs!$B21:$BC21)</f>
        <v>831.8</v>
      </c>
      <c r="X23" s="1">
        <f>AVERAGEIF(baseCase_ECs!$B$63:$BC$63,assumptions!X$2,baseCase_ECs!$B21:$BC21)</f>
        <v>828</v>
      </c>
      <c r="Y23" s="1">
        <f>AVERAGEIF(baseCase_ECs!$B$63:$BC$63,assumptions!Y$2,baseCase_ECs!$B21:$BC21)</f>
        <v>840.4</v>
      </c>
      <c r="Z23" s="1">
        <f>AVERAGEIF(baseCase_ECs!$B$63:$BC$63,assumptions!Z$2,baseCase_ECs!$B21:$BC21)</f>
        <v>722</v>
      </c>
      <c r="AB23" s="1">
        <f>AVERAGEIF(baseCase_installedCap!$B$63:$BC$63,assumptions!AB$2,baseCase_installedCap!$B21:$BC21)</f>
        <v>903744.6</v>
      </c>
      <c r="AC23" s="1">
        <f>AVERAGEIF(baseCase_installedCap!$B$63:$BC$63,assumptions!AC$2,baseCase_installedCap!$B21:$BC21)</f>
        <v>1188394.2</v>
      </c>
      <c r="AD23" s="1">
        <f>AVERAGEIF(baseCase_installedCap!$B$63:$BC$63,assumptions!AD$2,baseCase_installedCap!$B21:$BC21)</f>
        <v>1302021.6000000001</v>
      </c>
      <c r="AE23" s="1">
        <f>AVERAGEIF(baseCase_installedCap!$B$63:$BC$63,assumptions!AE$2,baseCase_installedCap!$B21:$BC21)</f>
        <v>1197334.2</v>
      </c>
      <c r="AF23" s="1">
        <f>AVERAGEIF(baseCase_installedCap!$B$63:$BC$63,assumptions!AF$2,baseCase_installedCap!$B21:$BC21)</f>
        <v>1358433</v>
      </c>
      <c r="AG23" s="1">
        <f>AVERAGEIF(baseCase_installedCap!$B$63:$BC$63,assumptions!AG$2,baseCase_installedCap!$B21:$BC21)</f>
        <v>1507462.8</v>
      </c>
      <c r="AH23" s="1">
        <f>AVERAGEIF(baseCase_installedCap!$B$63:$BC$63,assumptions!AH$2,baseCase_installedCap!$B21:$BC21)</f>
        <v>1899213.6</v>
      </c>
      <c r="AI23" s="1">
        <f>AVERAGEIF(baseCase_installedCap!$B$63:$BC$63,assumptions!AI$2,baseCase_installedCap!$B21:$BC21)</f>
        <v>4428697.2</v>
      </c>
      <c r="AJ23" s="1">
        <f>AVERAGEIF(baseCase_installedCap!$B$63:$BC$63,assumptions!AJ$2,baseCase_installedCap!$B21:$BC21)</f>
        <v>901420.2</v>
      </c>
      <c r="AL23" s="1">
        <f>AVERAGEIF(baseCase_percMembers!$B$63:$BC$63,assumptions!AL$2,baseCase_percMembers!$B21:$BC21)</f>
        <v>2.2747999999999999</v>
      </c>
      <c r="AM23" s="1">
        <f>AVERAGEIF(baseCase_percMembers!$B$63:$BC$63,assumptions!AM$2,baseCase_percMembers!$B21:$BC21)</f>
        <v>2.9955999999999996</v>
      </c>
      <c r="AN23" s="1">
        <f>AVERAGEIF(baseCase_percMembers!$B$63:$BC$63,assumptions!AN$2,baseCase_percMembers!$B21:$BC21)</f>
        <v>3.2817999999999996</v>
      </c>
      <c r="AO23" s="1">
        <f>AVERAGEIF(baseCase_percMembers!$B$63:$BC$63,assumptions!AO$2,baseCase_percMembers!$B21:$BC21)</f>
        <v>3.0151999999999997</v>
      </c>
      <c r="AP23" s="1">
        <f>AVERAGEIF(baseCase_percMembers!$B$63:$BC$63,assumptions!AP$2,baseCase_percMembers!$B21:$BC21)</f>
        <v>3.4222000000000001</v>
      </c>
      <c r="AQ23" s="1">
        <f>AVERAGEIF(baseCase_percMembers!$B$63:$BC$63,assumptions!AQ$2,baseCase_percMembers!$B21:$BC21)</f>
        <v>3.7985999999999995</v>
      </c>
      <c r="AR23" s="1">
        <f>AVERAGEIF(baseCase_percMembers!$B$63:$BC$63,assumptions!AR$2,baseCase_percMembers!$B21:$BC21)</f>
        <v>4.7838000000000003</v>
      </c>
      <c r="AS23" s="1">
        <f>AVERAGEIF(baseCase_percMembers!$B$63:$BC$63,assumptions!AS$2,baseCase_percMembers!$B21:$BC21)</f>
        <v>4.8340000000000005</v>
      </c>
      <c r="AT23" s="1">
        <f>AVERAGEIF(baseCase_percMembers!$B$63:$BC$63,assumptions!AT$2,baseCase_percMembers!$B21:$BC21)</f>
        <v>2.2687999999999997</v>
      </c>
    </row>
    <row r="24" spans="7:46" x14ac:dyDescent="0.3">
      <c r="G24">
        <v>2029</v>
      </c>
      <c r="H24" s="1">
        <f>AVERAGEIF(baseCase_projects!$B$63:$BC$63,assumptions!H$2,baseCase_projects!$B22:$BC22)</f>
        <v>2353.4</v>
      </c>
      <c r="I24" s="1">
        <f>AVERAGEIF(baseCase_projects!$B$63:$BC$63,assumptions!I$2,baseCase_projects!$B22:$BC22)</f>
        <v>3073.8</v>
      </c>
      <c r="J24" s="1">
        <f>AVERAGEIF(baseCase_projects!$B$63:$BC$63,assumptions!J$2,baseCase_projects!$B22:$BC22)</f>
        <v>3500.4</v>
      </c>
      <c r="K24" s="1">
        <f>AVERAGEIF(baseCase_projects!$B$63:$BC$63,assumptions!K$2,baseCase_projects!$B22:$BC22)</f>
        <v>3425</v>
      </c>
      <c r="L24" s="1">
        <f>AVERAGEIF(baseCase_projects!$B$63:$BC$63,assumptions!L$2,baseCase_projects!$B22:$BC22)</f>
        <v>3946.2</v>
      </c>
      <c r="M24" s="1">
        <f>AVERAGEIF(baseCase_projects!$B$63:$BC$63,assumptions!M$2,baseCase_projects!$B22:$BC22)</f>
        <v>4374</v>
      </c>
      <c r="N24" s="1">
        <f>AVERAGEIF(baseCase_projects!$B$63:$BC$63,assumptions!N$2,baseCase_projects!$B22:$BC22)</f>
        <v>6672.2</v>
      </c>
      <c r="O24" s="1">
        <f>AVERAGEIF(baseCase_projects!$B$63:$BC$63,assumptions!O$2,baseCase_projects!$B22:$BC22)</f>
        <v>6703.2</v>
      </c>
      <c r="P24" s="1">
        <f>AVERAGEIF(baseCase_projects!$B$63:$BC$63,assumptions!P$2,baseCase_projects!$B22:$BC22)</f>
        <v>2337.1999999999998</v>
      </c>
      <c r="R24" s="1">
        <f>AVERAGEIF(baseCase_ECs!$B$63:$BC$63,assumptions!R$2,baseCase_ECs!$B22:$BC22)</f>
        <v>738.4</v>
      </c>
      <c r="S24" s="1">
        <f>AVERAGEIF(baseCase_ECs!$B$63:$BC$63,assumptions!S$2,baseCase_ECs!$B22:$BC22)</f>
        <v>847.6</v>
      </c>
      <c r="T24" s="1">
        <f>AVERAGEIF(baseCase_ECs!$B$63:$BC$63,assumptions!T$2,baseCase_ECs!$B22:$BC22)</f>
        <v>849.4</v>
      </c>
      <c r="U24" s="1">
        <f>AVERAGEIF(baseCase_ECs!$B$63:$BC$63,assumptions!U$2,baseCase_ECs!$B22:$BC22)</f>
        <v>771.6</v>
      </c>
      <c r="V24" s="1">
        <f>AVERAGEIF(baseCase_ECs!$B$63:$BC$63,assumptions!V$2,baseCase_ECs!$B22:$BC22)</f>
        <v>810.6</v>
      </c>
      <c r="W24" s="1">
        <f>AVERAGEIF(baseCase_ECs!$B$63:$BC$63,assumptions!W$2,baseCase_ECs!$B22:$BC22)</f>
        <v>850.4</v>
      </c>
      <c r="X24" s="1">
        <f>AVERAGEIF(baseCase_ECs!$B$63:$BC$63,assumptions!X$2,baseCase_ECs!$B22:$BC22)</f>
        <v>856.8</v>
      </c>
      <c r="Y24" s="1">
        <f>AVERAGEIF(baseCase_ECs!$B$63:$BC$63,assumptions!Y$2,baseCase_ECs!$B22:$BC22)</f>
        <v>860.6</v>
      </c>
      <c r="Z24" s="1">
        <f>AVERAGEIF(baseCase_ECs!$B$63:$BC$63,assumptions!Z$2,baseCase_ECs!$B22:$BC22)</f>
        <v>732.2</v>
      </c>
      <c r="AB24" s="1">
        <f>AVERAGEIF(baseCase_installedCap!$B$63:$BC$63,assumptions!AB$2,baseCase_installedCap!$B22:$BC22)</f>
        <v>1051969.8</v>
      </c>
      <c r="AC24" s="1">
        <f>AVERAGEIF(baseCase_installedCap!$B$63:$BC$63,assumptions!AC$2,baseCase_installedCap!$B22:$BC22)</f>
        <v>1373988.6</v>
      </c>
      <c r="AD24" s="1">
        <f>AVERAGEIF(baseCase_installedCap!$B$63:$BC$63,assumptions!AD$2,baseCase_installedCap!$B22:$BC22)</f>
        <v>1564678.8</v>
      </c>
      <c r="AE24" s="1">
        <f>AVERAGEIF(baseCase_installedCap!$B$63:$BC$63,assumptions!AE$2,baseCase_installedCap!$B22:$BC22)</f>
        <v>1530975</v>
      </c>
      <c r="AF24" s="1">
        <f>AVERAGEIF(baseCase_installedCap!$B$63:$BC$63,assumptions!AF$2,baseCase_installedCap!$B22:$BC22)</f>
        <v>1763951.4</v>
      </c>
      <c r="AG24" s="1">
        <f>AVERAGEIF(baseCase_installedCap!$B$63:$BC$63,assumptions!AG$2,baseCase_installedCap!$B22:$BC22)</f>
        <v>1955178</v>
      </c>
      <c r="AH24" s="1">
        <f>AVERAGEIF(baseCase_installedCap!$B$63:$BC$63,assumptions!AH$2,baseCase_installedCap!$B22:$BC22)</f>
        <v>2982473.4</v>
      </c>
      <c r="AI24" s="1">
        <f>AVERAGEIF(baseCase_installedCap!$B$63:$BC$63,assumptions!AI$2,baseCase_installedCap!$B22:$BC22)</f>
        <v>7660507.2000000002</v>
      </c>
      <c r="AJ24" s="1">
        <f>AVERAGEIF(baseCase_installedCap!$B$63:$BC$63,assumptions!AJ$2,baseCase_installedCap!$B22:$BC22)</f>
        <v>1044728.4</v>
      </c>
      <c r="AL24" s="1">
        <f>AVERAGEIF(baseCase_percMembers!$B$63:$BC$63,assumptions!AL$2,baseCase_percMembers!$B22:$BC22)</f>
        <v>2.6485999999999996</v>
      </c>
      <c r="AM24" s="1">
        <f>AVERAGEIF(baseCase_percMembers!$B$63:$BC$63,assumptions!AM$2,baseCase_percMembers!$B22:$BC22)</f>
        <v>3.4625999999999997</v>
      </c>
      <c r="AN24" s="1">
        <f>AVERAGEIF(baseCase_percMembers!$B$63:$BC$63,assumptions!AN$2,baseCase_percMembers!$B22:$BC22)</f>
        <v>3.9426000000000001</v>
      </c>
      <c r="AO24" s="1">
        <f>AVERAGEIF(baseCase_percMembers!$B$63:$BC$63,assumptions!AO$2,baseCase_percMembers!$B22:$BC22)</f>
        <v>3.8554000000000004</v>
      </c>
      <c r="AP24" s="1">
        <f>AVERAGEIF(baseCase_percMembers!$B$63:$BC$63,assumptions!AP$2,baseCase_percMembers!$B22:$BC22)</f>
        <v>4.4433999999999996</v>
      </c>
      <c r="AQ24" s="1">
        <f>AVERAGEIF(baseCase_percMembers!$B$63:$BC$63,assumptions!AQ$2,baseCase_percMembers!$B22:$BC22)</f>
        <v>4.9248000000000003</v>
      </c>
      <c r="AR24" s="1">
        <f>AVERAGEIF(baseCase_percMembers!$B$63:$BC$63,assumptions!AR$2,baseCase_percMembers!$B22:$BC22)</f>
        <v>7.5098000000000003</v>
      </c>
      <c r="AS24" s="1">
        <f>AVERAGEIF(baseCase_percMembers!$B$63:$BC$63,assumptions!AS$2,baseCase_percMembers!$B22:$BC22)</f>
        <v>7.5442000000000009</v>
      </c>
      <c r="AT24" s="1">
        <f>AVERAGEIF(baseCase_percMembers!$B$63:$BC$63,assumptions!AT$2,baseCase_percMembers!$B22:$BC22)</f>
        <v>2.63</v>
      </c>
    </row>
    <row r="25" spans="7:46" x14ac:dyDescent="0.3">
      <c r="G25">
        <v>2030</v>
      </c>
      <c r="H25" s="1">
        <f>AVERAGEIF(baseCase_projects!$B$63:$BC$63,assumptions!H$2,baseCase_projects!$B23:$BC23)</f>
        <v>2629.6</v>
      </c>
      <c r="I25" s="1">
        <f>AVERAGEIF(baseCase_projects!$B$63:$BC$63,assumptions!I$2,baseCase_projects!$B23:$BC23)</f>
        <v>3386.4</v>
      </c>
      <c r="J25" s="1">
        <f>AVERAGEIF(baseCase_projects!$B$63:$BC$63,assumptions!J$2,baseCase_projects!$B23:$BC23)</f>
        <v>4037.6</v>
      </c>
      <c r="K25" s="1">
        <f>AVERAGEIF(baseCase_projects!$B$63:$BC$63,assumptions!K$2,baseCase_projects!$B23:$BC23)</f>
        <v>4205.6000000000004</v>
      </c>
      <c r="L25" s="1">
        <f>AVERAGEIF(baseCase_projects!$B$63:$BC$63,assumptions!L$2,baseCase_projects!$B23:$BC23)</f>
        <v>4952</v>
      </c>
      <c r="M25" s="1">
        <f>AVERAGEIF(baseCase_projects!$B$63:$BC$63,assumptions!M$2,baseCase_projects!$B23:$BC23)</f>
        <v>5369.2</v>
      </c>
      <c r="N25" s="1">
        <f>AVERAGEIF(baseCase_projects!$B$63:$BC$63,assumptions!N$2,baseCase_projects!$B23:$BC23)</f>
        <v>10022.4</v>
      </c>
      <c r="O25" s="1">
        <f>AVERAGEIF(baseCase_projects!$B$63:$BC$63,assumptions!O$2,baseCase_projects!$B23:$BC23)</f>
        <v>9800</v>
      </c>
      <c r="P25" s="1">
        <f>AVERAGEIF(baseCase_projects!$B$63:$BC$63,assumptions!P$2,baseCase_projects!$B23:$BC23)</f>
        <v>2615.1999999999998</v>
      </c>
      <c r="R25" s="1">
        <f>AVERAGEIF(baseCase_ECs!$B$63:$BC$63,assumptions!R$2,baseCase_ECs!$B23:$BC23)</f>
        <v>747.8</v>
      </c>
      <c r="S25" s="1">
        <f>AVERAGEIF(baseCase_ECs!$B$63:$BC$63,assumptions!S$2,baseCase_ECs!$B23:$BC23)</f>
        <v>859.2</v>
      </c>
      <c r="T25" s="1">
        <f>AVERAGEIF(baseCase_ECs!$B$63:$BC$63,assumptions!T$2,baseCase_ECs!$B23:$BC23)</f>
        <v>865.2</v>
      </c>
      <c r="U25" s="1">
        <f>AVERAGEIF(baseCase_ECs!$B$63:$BC$63,assumptions!U$2,baseCase_ECs!$B23:$BC23)</f>
        <v>785.6</v>
      </c>
      <c r="V25" s="1">
        <f>AVERAGEIF(baseCase_ECs!$B$63:$BC$63,assumptions!V$2,baseCase_ECs!$B23:$BC23)</f>
        <v>828.2</v>
      </c>
      <c r="W25" s="1">
        <f>AVERAGEIF(baseCase_ECs!$B$63:$BC$63,assumptions!W$2,baseCase_ECs!$B23:$BC23)</f>
        <v>865.4</v>
      </c>
      <c r="X25" s="1">
        <f>AVERAGEIF(baseCase_ECs!$B$63:$BC$63,assumptions!X$2,baseCase_ECs!$B23:$BC23)</f>
        <v>877.4</v>
      </c>
      <c r="Y25" s="1">
        <f>AVERAGEIF(baseCase_ECs!$B$63:$BC$63,assumptions!Y$2,baseCase_ECs!$B23:$BC23)</f>
        <v>877.8</v>
      </c>
      <c r="Z25" s="1">
        <f>AVERAGEIF(baseCase_ECs!$B$63:$BC$63,assumptions!Z$2,baseCase_ECs!$B23:$BC23)</f>
        <v>742.6</v>
      </c>
      <c r="AB25" s="1">
        <f>AVERAGEIF(baseCase_installedCap!$B$63:$BC$63,assumptions!AB$2,baseCase_installedCap!$B23:$BC23)</f>
        <v>1175431.2</v>
      </c>
      <c r="AC25" s="1">
        <f>AVERAGEIF(baseCase_installedCap!$B$63:$BC$63,assumptions!AC$2,baseCase_installedCap!$B23:$BC23)</f>
        <v>1513720.8</v>
      </c>
      <c r="AD25" s="1">
        <f>AVERAGEIF(baseCase_installedCap!$B$63:$BC$63,assumptions!AD$2,baseCase_installedCap!$B23:$BC23)</f>
        <v>1804807.2</v>
      </c>
      <c r="AE25" s="1">
        <f>AVERAGEIF(baseCase_installedCap!$B$63:$BC$63,assumptions!AE$2,baseCase_installedCap!$B23:$BC23)</f>
        <v>1879903.2</v>
      </c>
      <c r="AF25" s="1">
        <f>AVERAGEIF(baseCase_installedCap!$B$63:$BC$63,assumptions!AF$2,baseCase_installedCap!$B23:$BC23)</f>
        <v>2213544</v>
      </c>
      <c r="AG25" s="1">
        <f>AVERAGEIF(baseCase_installedCap!$B$63:$BC$63,assumptions!AG$2,baseCase_installedCap!$B23:$BC23)</f>
        <v>2400032.4</v>
      </c>
      <c r="AH25" s="1">
        <f>AVERAGEIF(baseCase_installedCap!$B$63:$BC$63,assumptions!AH$2,baseCase_installedCap!$B23:$BC23)</f>
        <v>4480012.8</v>
      </c>
      <c r="AI25" s="1">
        <f>AVERAGEIF(baseCase_installedCap!$B$63:$BC$63,assumptions!AI$2,baseCase_installedCap!$B23:$BC23)</f>
        <v>11813316</v>
      </c>
      <c r="AJ25" s="1">
        <f>AVERAGEIF(baseCase_installedCap!$B$63:$BC$63,assumptions!AJ$2,baseCase_installedCap!$B23:$BC23)</f>
        <v>1168994.3999999999</v>
      </c>
      <c r="AL25" s="1">
        <f>AVERAGEIF(baseCase_percMembers!$B$63:$BC$63,assumptions!AL$2,baseCase_percMembers!$B23:$BC23)</f>
        <v>2.9598</v>
      </c>
      <c r="AM25" s="1">
        <f>AVERAGEIF(baseCase_percMembers!$B$63:$BC$63,assumptions!AM$2,baseCase_percMembers!$B23:$BC23)</f>
        <v>3.8137999999999996</v>
      </c>
      <c r="AN25" s="1">
        <f>AVERAGEIF(baseCase_percMembers!$B$63:$BC$63,assumptions!AN$2,baseCase_percMembers!$B23:$BC23)</f>
        <v>4.5468000000000002</v>
      </c>
      <c r="AO25" s="1">
        <f>AVERAGEIF(baseCase_percMembers!$B$63:$BC$63,assumptions!AO$2,baseCase_percMembers!$B23:$BC23)</f>
        <v>4.7337999999999996</v>
      </c>
      <c r="AP25" s="1">
        <f>AVERAGEIF(baseCase_percMembers!$B$63:$BC$63,assumptions!AP$2,baseCase_percMembers!$B23:$BC23)</f>
        <v>5.5746000000000002</v>
      </c>
      <c r="AQ25" s="1">
        <f>AVERAGEIF(baseCase_percMembers!$B$63:$BC$63,assumptions!AQ$2,baseCase_percMembers!$B23:$BC23)</f>
        <v>6.0435999999999996</v>
      </c>
      <c r="AR25" s="1">
        <f>AVERAGEIF(baseCase_percMembers!$B$63:$BC$63,assumptions!AR$2,baseCase_percMembers!$B23:$BC23)</f>
        <v>11.2766</v>
      </c>
      <c r="AS25" s="1">
        <f>AVERAGEIF(baseCase_percMembers!$B$63:$BC$63,assumptions!AS$2,baseCase_percMembers!$B23:$BC23)</f>
        <v>11.026</v>
      </c>
      <c r="AT25" s="1">
        <f>AVERAGEIF(baseCase_percMembers!$B$63:$BC$63,assumptions!AT$2,baseCase_percMembers!$B23:$BC23)</f>
        <v>2.9432</v>
      </c>
    </row>
    <row r="26" spans="7:46" x14ac:dyDescent="0.3">
      <c r="G26">
        <v>2031</v>
      </c>
      <c r="H26" s="1">
        <f>AVERAGEIF(baseCase_projects!$B$63:$BC$63,assumptions!H$2,baseCase_projects!$B24:$BC24)</f>
        <v>2856.8</v>
      </c>
      <c r="I26" s="1">
        <f>AVERAGEIF(baseCase_projects!$B$63:$BC$63,assumptions!I$2,baseCase_projects!$B24:$BC24)</f>
        <v>3592.6</v>
      </c>
      <c r="J26" s="1">
        <f>AVERAGEIF(baseCase_projects!$B$63:$BC$63,assumptions!J$2,baseCase_projects!$B24:$BC24)</f>
        <v>4493.8</v>
      </c>
      <c r="K26" s="1">
        <f>AVERAGEIF(baseCase_projects!$B$63:$BC$63,assumptions!K$2,baseCase_projects!$B24:$BC24)</f>
        <v>4955.3999999999996</v>
      </c>
      <c r="L26" s="1">
        <f>AVERAGEIF(baseCase_projects!$B$63:$BC$63,assumptions!L$2,baseCase_projects!$B24:$BC24)</f>
        <v>5923.4</v>
      </c>
      <c r="M26" s="1">
        <f>AVERAGEIF(baseCase_projects!$B$63:$BC$63,assumptions!M$2,baseCase_projects!$B24:$BC24)</f>
        <v>6308.4</v>
      </c>
      <c r="N26" s="1">
        <f>AVERAGEIF(baseCase_projects!$B$63:$BC$63,assumptions!N$2,baseCase_projects!$B24:$BC24)</f>
        <v>13681.4</v>
      </c>
      <c r="O26" s="1">
        <f>AVERAGEIF(baseCase_projects!$B$63:$BC$63,assumptions!O$2,baseCase_projects!$B24:$BC24)</f>
        <v>13040</v>
      </c>
      <c r="P26" s="1">
        <f>AVERAGEIF(baseCase_projects!$B$63:$BC$63,assumptions!P$2,baseCase_projects!$B24:$BC24)</f>
        <v>2889.8</v>
      </c>
      <c r="R26" s="1">
        <f>AVERAGEIF(baseCase_ECs!$B$63:$BC$63,assumptions!R$2,baseCase_ECs!$B24:$BC24)</f>
        <v>757.2</v>
      </c>
      <c r="S26" s="1">
        <f>AVERAGEIF(baseCase_ECs!$B$63:$BC$63,assumptions!S$2,baseCase_ECs!$B24:$BC24)</f>
        <v>868.6</v>
      </c>
      <c r="T26" s="1">
        <f>AVERAGEIF(baseCase_ECs!$B$63:$BC$63,assumptions!T$2,baseCase_ECs!$B24:$BC24)</f>
        <v>874.4</v>
      </c>
      <c r="U26" s="1">
        <f>AVERAGEIF(baseCase_ECs!$B$63:$BC$63,assumptions!U$2,baseCase_ECs!$B24:$BC24)</f>
        <v>804.4</v>
      </c>
      <c r="V26" s="1">
        <f>AVERAGEIF(baseCase_ECs!$B$63:$BC$63,assumptions!V$2,baseCase_ECs!$B24:$BC24)</f>
        <v>849.4</v>
      </c>
      <c r="W26" s="1">
        <f>AVERAGEIF(baseCase_ECs!$B$63:$BC$63,assumptions!W$2,baseCase_ECs!$B24:$BC24)</f>
        <v>877.8</v>
      </c>
      <c r="X26" s="1">
        <f>AVERAGEIF(baseCase_ECs!$B$63:$BC$63,assumptions!X$2,baseCase_ECs!$B24:$BC24)</f>
        <v>890.8</v>
      </c>
      <c r="Y26" s="1">
        <f>AVERAGEIF(baseCase_ECs!$B$63:$BC$63,assumptions!Y$2,baseCase_ECs!$B24:$BC24)</f>
        <v>891.2</v>
      </c>
      <c r="Z26" s="1">
        <f>AVERAGEIF(baseCase_ECs!$B$63:$BC$63,assumptions!Z$2,baseCase_ECs!$B24:$BC24)</f>
        <v>752</v>
      </c>
      <c r="AB26" s="1">
        <f>AVERAGEIF(baseCase_installedCap!$B$63:$BC$63,assumptions!AB$2,baseCase_installedCap!$B24:$BC24)</f>
        <v>1276989.6000000001</v>
      </c>
      <c r="AC26" s="1">
        <f>AVERAGEIF(baseCase_installedCap!$B$63:$BC$63,assumptions!AC$2,baseCase_installedCap!$B24:$BC24)</f>
        <v>1605892.2</v>
      </c>
      <c r="AD26" s="1">
        <f>AVERAGEIF(baseCase_installedCap!$B$63:$BC$63,assumptions!AD$2,baseCase_installedCap!$B24:$BC24)</f>
        <v>2008728.6</v>
      </c>
      <c r="AE26" s="1">
        <f>AVERAGEIF(baseCase_installedCap!$B$63:$BC$63,assumptions!AE$2,baseCase_installedCap!$B24:$BC24)</f>
        <v>2215063.7999999998</v>
      </c>
      <c r="AF26" s="1">
        <f>AVERAGEIF(baseCase_installedCap!$B$63:$BC$63,assumptions!AF$2,baseCase_installedCap!$B24:$BC24)</f>
        <v>2647759.7999999998</v>
      </c>
      <c r="AG26" s="1">
        <f>AVERAGEIF(baseCase_installedCap!$B$63:$BC$63,assumptions!AG$2,baseCase_installedCap!$B24:$BC24)</f>
        <v>2819854.8</v>
      </c>
      <c r="AH26" s="1">
        <f>AVERAGEIF(baseCase_installedCap!$B$63:$BC$63,assumptions!AH$2,baseCase_installedCap!$B24:$BC24)</f>
        <v>6115585.7999999998</v>
      </c>
      <c r="AI26" s="1">
        <f>AVERAGEIF(baseCase_installedCap!$B$63:$BC$63,assumptions!AI$2,baseCase_installedCap!$B24:$BC24)</f>
        <v>16158156</v>
      </c>
      <c r="AJ26" s="1">
        <f>AVERAGEIF(baseCase_installedCap!$B$63:$BC$63,assumptions!AJ$2,baseCase_installedCap!$B24:$BC24)</f>
        <v>1291740.6000000001</v>
      </c>
      <c r="AL26" s="1">
        <f>AVERAGEIF(baseCase_percMembers!$B$63:$BC$63,assumptions!AL$2,baseCase_percMembers!$B24:$BC24)</f>
        <v>3.2155999999999998</v>
      </c>
      <c r="AM26" s="1">
        <f>AVERAGEIF(baseCase_percMembers!$B$63:$BC$63,assumptions!AM$2,baseCase_percMembers!$B24:$BC24)</f>
        <v>4.0456000000000003</v>
      </c>
      <c r="AN26" s="1">
        <f>AVERAGEIF(baseCase_percMembers!$B$63:$BC$63,assumptions!AN$2,baseCase_percMembers!$B24:$BC24)</f>
        <v>5.0589999999999993</v>
      </c>
      <c r="AO26" s="1">
        <f>AVERAGEIF(baseCase_percMembers!$B$63:$BC$63,assumptions!AO$2,baseCase_percMembers!$B24:$BC24)</f>
        <v>5.5780000000000003</v>
      </c>
      <c r="AP26" s="1">
        <f>AVERAGEIF(baseCase_percMembers!$B$63:$BC$63,assumptions!AP$2,baseCase_percMembers!$B24:$BC24)</f>
        <v>6.6676000000000002</v>
      </c>
      <c r="AQ26" s="1">
        <f>AVERAGEIF(baseCase_percMembers!$B$63:$BC$63,assumptions!AQ$2,baseCase_percMembers!$B24:$BC24)</f>
        <v>7.0987999999999998</v>
      </c>
      <c r="AR26" s="1">
        <f>AVERAGEIF(baseCase_percMembers!$B$63:$BC$63,assumptions!AR$2,baseCase_percMembers!$B24:$BC24)</f>
        <v>15.390199999999998</v>
      </c>
      <c r="AS26" s="1">
        <f>AVERAGEIF(baseCase_percMembers!$B$63:$BC$63,assumptions!AS$2,baseCase_percMembers!$B24:$BC24)</f>
        <v>14.668200000000002</v>
      </c>
      <c r="AT26" s="1">
        <f>AVERAGEIF(baseCase_percMembers!$B$63:$BC$63,assumptions!AT$2,baseCase_percMembers!$B24:$BC24)</f>
        <v>3.2525999999999997</v>
      </c>
    </row>
    <row r="27" spans="7:46" x14ac:dyDescent="0.3">
      <c r="G27">
        <v>2032</v>
      </c>
      <c r="H27" s="1">
        <f>AVERAGEIF(baseCase_projects!$B$63:$BC$63,assumptions!H$2,baseCase_projects!$B25:$BC25)</f>
        <v>3081</v>
      </c>
      <c r="I27" s="1">
        <f>AVERAGEIF(baseCase_projects!$B$63:$BC$63,assumptions!I$2,baseCase_projects!$B25:$BC25)</f>
        <v>4083</v>
      </c>
      <c r="J27" s="1">
        <f>AVERAGEIF(baseCase_projects!$B$63:$BC$63,assumptions!J$2,baseCase_projects!$B25:$BC25)</f>
        <v>5207.2</v>
      </c>
      <c r="K27" s="1">
        <f>AVERAGEIF(baseCase_projects!$B$63:$BC$63,assumptions!K$2,baseCase_projects!$B25:$BC25)</f>
        <v>5612.8</v>
      </c>
      <c r="L27" s="1">
        <f>AVERAGEIF(baseCase_projects!$B$63:$BC$63,assumptions!L$2,baseCase_projects!$B25:$BC25)</f>
        <v>6780.8</v>
      </c>
      <c r="M27" s="1">
        <f>AVERAGEIF(baseCase_projects!$B$63:$BC$63,assumptions!M$2,baseCase_projects!$B25:$BC25)</f>
        <v>7263.6</v>
      </c>
      <c r="N27" s="1">
        <f>AVERAGEIF(baseCase_projects!$B$63:$BC$63,assumptions!N$2,baseCase_projects!$B25:$BC25)</f>
        <v>16142.2</v>
      </c>
      <c r="O27" s="1">
        <f>AVERAGEIF(baseCase_projects!$B$63:$BC$63,assumptions!O$2,baseCase_projects!$B25:$BC25)</f>
        <v>15184</v>
      </c>
      <c r="P27" s="1">
        <f>AVERAGEIF(baseCase_projects!$B$63:$BC$63,assumptions!P$2,baseCase_projects!$B25:$BC25)</f>
        <v>3167.8</v>
      </c>
      <c r="R27" s="1">
        <f>AVERAGEIF(baseCase_ECs!$B$63:$BC$63,assumptions!R$2,baseCase_ECs!$B25:$BC25)</f>
        <v>767.4</v>
      </c>
      <c r="S27" s="1">
        <f>AVERAGEIF(baseCase_ECs!$B$63:$BC$63,assumptions!S$2,baseCase_ECs!$B25:$BC25)</f>
        <v>876.6</v>
      </c>
      <c r="T27" s="1">
        <f>AVERAGEIF(baseCase_ECs!$B$63:$BC$63,assumptions!T$2,baseCase_ECs!$B25:$BC25)</f>
        <v>882.6</v>
      </c>
      <c r="U27" s="1">
        <f>AVERAGEIF(baseCase_ECs!$B$63:$BC$63,assumptions!U$2,baseCase_ECs!$B25:$BC25)</f>
        <v>821.8</v>
      </c>
      <c r="V27" s="1">
        <f>AVERAGEIF(baseCase_ECs!$B$63:$BC$63,assumptions!V$2,baseCase_ECs!$B25:$BC25)</f>
        <v>864.6</v>
      </c>
      <c r="W27" s="1">
        <f>AVERAGEIF(baseCase_ECs!$B$63:$BC$63,assumptions!W$2,baseCase_ECs!$B25:$BC25)</f>
        <v>887.2</v>
      </c>
      <c r="X27" s="1">
        <f>AVERAGEIF(baseCase_ECs!$B$63:$BC$63,assumptions!X$2,baseCase_ECs!$B25:$BC25)</f>
        <v>900.4</v>
      </c>
      <c r="Y27" s="1">
        <f>AVERAGEIF(baseCase_ECs!$B$63:$BC$63,assumptions!Y$2,baseCase_ECs!$B25:$BC25)</f>
        <v>900</v>
      </c>
      <c r="Z27" s="1">
        <f>AVERAGEIF(baseCase_ECs!$B$63:$BC$63,assumptions!Z$2,baseCase_ECs!$B25:$BC25)</f>
        <v>756.6</v>
      </c>
      <c r="AB27" s="1">
        <f>AVERAGEIF(baseCase_installedCap!$B$63:$BC$63,assumptions!AB$2,baseCase_installedCap!$B25:$BC25)</f>
        <v>1377207</v>
      </c>
      <c r="AC27" s="1">
        <f>AVERAGEIF(baseCase_installedCap!$B$63:$BC$63,assumptions!AC$2,baseCase_installedCap!$B25:$BC25)</f>
        <v>1825101</v>
      </c>
      <c r="AD27" s="1">
        <f>AVERAGEIF(baseCase_installedCap!$B$63:$BC$63,assumptions!AD$2,baseCase_installedCap!$B25:$BC25)</f>
        <v>2327618.4</v>
      </c>
      <c r="AE27" s="1">
        <f>AVERAGEIF(baseCase_installedCap!$B$63:$BC$63,assumptions!AE$2,baseCase_installedCap!$B25:$BC25)</f>
        <v>2508921.6</v>
      </c>
      <c r="AF27" s="1">
        <f>AVERAGEIF(baseCase_installedCap!$B$63:$BC$63,assumptions!AF$2,baseCase_installedCap!$B25:$BC25)</f>
        <v>3031017.6</v>
      </c>
      <c r="AG27" s="1">
        <f>AVERAGEIF(baseCase_installedCap!$B$63:$BC$63,assumptions!AG$2,baseCase_installedCap!$B25:$BC25)</f>
        <v>3246829.2</v>
      </c>
      <c r="AH27" s="1">
        <f>AVERAGEIF(baseCase_installedCap!$B$63:$BC$63,assumptions!AH$2,baseCase_installedCap!$B25:$BC25)</f>
        <v>7215563.4000000004</v>
      </c>
      <c r="AI27" s="1">
        <f>AVERAGEIF(baseCase_installedCap!$B$63:$BC$63,assumptions!AI$2,baseCase_installedCap!$B25:$BC25)</f>
        <v>19033260</v>
      </c>
      <c r="AJ27" s="1">
        <f>AVERAGEIF(baseCase_installedCap!$B$63:$BC$63,assumptions!AJ$2,baseCase_installedCap!$B25:$BC25)</f>
        <v>1416006.6</v>
      </c>
      <c r="AL27" s="1">
        <f>AVERAGEIF(baseCase_percMembers!$B$63:$BC$63,assumptions!AL$2,baseCase_percMembers!$B25:$BC25)</f>
        <v>3.4685999999999999</v>
      </c>
      <c r="AM27" s="1">
        <f>AVERAGEIF(baseCase_percMembers!$B$63:$BC$63,assumptions!AM$2,baseCase_percMembers!$B25:$BC25)</f>
        <v>4.5961999999999996</v>
      </c>
      <c r="AN27" s="1">
        <f>AVERAGEIF(baseCase_percMembers!$B$63:$BC$63,assumptions!AN$2,baseCase_percMembers!$B25:$BC25)</f>
        <v>5.8604000000000003</v>
      </c>
      <c r="AO27" s="1">
        <f>AVERAGEIF(baseCase_percMembers!$B$63:$BC$63,assumptions!AO$2,baseCase_percMembers!$B25:$BC25)</f>
        <v>6.3176000000000005</v>
      </c>
      <c r="AP27" s="1">
        <f>AVERAGEIF(baseCase_percMembers!$B$63:$BC$63,assumptions!AP$2,baseCase_percMembers!$B25:$BC25)</f>
        <v>7.6316000000000006</v>
      </c>
      <c r="AQ27" s="1">
        <f>AVERAGEIF(baseCase_percMembers!$B$63:$BC$63,assumptions!AQ$2,baseCase_percMembers!$B25:$BC25)</f>
        <v>8.1720000000000006</v>
      </c>
      <c r="AR27" s="1">
        <f>AVERAGEIF(baseCase_percMembers!$B$63:$BC$63,assumptions!AR$2,baseCase_percMembers!$B25:$BC25)</f>
        <v>18.156399999999998</v>
      </c>
      <c r="AS27" s="1">
        <f>AVERAGEIF(baseCase_percMembers!$B$63:$BC$63,assumptions!AS$2,baseCase_percMembers!$B25:$BC25)</f>
        <v>17.077999999999999</v>
      </c>
      <c r="AT27" s="1">
        <f>AVERAGEIF(baseCase_percMembers!$B$63:$BC$63,assumptions!AT$2,baseCase_percMembers!$B25:$BC25)</f>
        <v>3.5653999999999995</v>
      </c>
    </row>
    <row r="28" spans="7:46" x14ac:dyDescent="0.3">
      <c r="G28">
        <v>2033</v>
      </c>
      <c r="H28" s="1">
        <f>AVERAGEIF(baseCase_projects!$B$63:$BC$63,assumptions!H$2,baseCase_projects!$B26:$BC26)</f>
        <v>3251.6</v>
      </c>
      <c r="I28" s="1">
        <f>AVERAGEIF(baseCase_projects!$B$63:$BC$63,assumptions!I$2,baseCase_projects!$B26:$BC26)</f>
        <v>4665.2</v>
      </c>
      <c r="J28" s="1">
        <f>AVERAGEIF(baseCase_projects!$B$63:$BC$63,assumptions!J$2,baseCase_projects!$B26:$BC26)</f>
        <v>6162.2</v>
      </c>
      <c r="K28" s="1">
        <f>AVERAGEIF(baseCase_projects!$B$63:$BC$63,assumptions!K$2,baseCase_projects!$B26:$BC26)</f>
        <v>6294.8</v>
      </c>
      <c r="L28" s="1">
        <f>AVERAGEIF(baseCase_projects!$B$63:$BC$63,assumptions!L$2,baseCase_projects!$B26:$BC26)</f>
        <v>7593.4</v>
      </c>
      <c r="M28" s="1">
        <f>AVERAGEIF(baseCase_projects!$B$63:$BC$63,assumptions!M$2,baseCase_projects!$B26:$BC26)</f>
        <v>8282.7999999999993</v>
      </c>
      <c r="N28" s="1">
        <f>AVERAGEIF(baseCase_projects!$B$63:$BC$63,assumptions!N$2,baseCase_projects!$B26:$BC26)</f>
        <v>18499.2</v>
      </c>
      <c r="O28" s="1">
        <f>AVERAGEIF(baseCase_projects!$B$63:$BC$63,assumptions!O$2,baseCase_projects!$B26:$BC26)</f>
        <v>17235.8</v>
      </c>
      <c r="P28" s="1">
        <f>AVERAGEIF(baseCase_projects!$B$63:$BC$63,assumptions!P$2,baseCase_projects!$B26:$BC26)</f>
        <v>3448.8</v>
      </c>
      <c r="R28" s="1">
        <f>AVERAGEIF(baseCase_ECs!$B$63:$BC$63,assumptions!R$2,baseCase_ECs!$B26:$BC26)</f>
        <v>774.6</v>
      </c>
      <c r="S28" s="1">
        <f>AVERAGEIF(baseCase_ECs!$B$63:$BC$63,assumptions!S$2,baseCase_ECs!$B26:$BC26)</f>
        <v>881</v>
      </c>
      <c r="T28" s="1">
        <f>AVERAGEIF(baseCase_ECs!$B$63:$BC$63,assumptions!T$2,baseCase_ECs!$B26:$BC26)</f>
        <v>887.6</v>
      </c>
      <c r="U28" s="1">
        <f>AVERAGEIF(baseCase_ECs!$B$63:$BC$63,assumptions!U$2,baseCase_ECs!$B26:$BC26)</f>
        <v>835.6</v>
      </c>
      <c r="V28" s="1">
        <f>AVERAGEIF(baseCase_ECs!$B$63:$BC$63,assumptions!V$2,baseCase_ECs!$B26:$BC26)</f>
        <v>874</v>
      </c>
      <c r="W28" s="1">
        <f>AVERAGEIF(baseCase_ECs!$B$63:$BC$63,assumptions!W$2,baseCase_ECs!$B26:$BC26)</f>
        <v>893.6</v>
      </c>
      <c r="X28" s="1">
        <f>AVERAGEIF(baseCase_ECs!$B$63:$BC$63,assumptions!X$2,baseCase_ECs!$B26:$BC26)</f>
        <v>906.2</v>
      </c>
      <c r="Y28" s="1">
        <f>AVERAGEIF(baseCase_ECs!$B$63:$BC$63,assumptions!Y$2,baseCase_ECs!$B26:$BC26)</f>
        <v>908</v>
      </c>
      <c r="Z28" s="1">
        <f>AVERAGEIF(baseCase_ECs!$B$63:$BC$63,assumptions!Z$2,baseCase_ECs!$B26:$BC26)</f>
        <v>766</v>
      </c>
      <c r="AB28" s="1">
        <f>AVERAGEIF(baseCase_installedCap!$B$63:$BC$63,assumptions!AB$2,baseCase_installedCap!$B26:$BC26)</f>
        <v>1453465.2</v>
      </c>
      <c r="AC28" s="1">
        <f>AVERAGEIF(baseCase_installedCap!$B$63:$BC$63,assumptions!AC$2,baseCase_installedCap!$B26:$BC26)</f>
        <v>2085344.4</v>
      </c>
      <c r="AD28" s="1">
        <f>AVERAGEIF(baseCase_installedCap!$B$63:$BC$63,assumptions!AD$2,baseCase_installedCap!$B26:$BC26)</f>
        <v>2754503.4</v>
      </c>
      <c r="AE28" s="1">
        <f>AVERAGEIF(baseCase_installedCap!$B$63:$BC$63,assumptions!AE$2,baseCase_installedCap!$B26:$BC26)</f>
        <v>2813775.6</v>
      </c>
      <c r="AF28" s="1">
        <f>AVERAGEIF(baseCase_installedCap!$B$63:$BC$63,assumptions!AF$2,baseCase_installedCap!$B26:$BC26)</f>
        <v>3394249.8</v>
      </c>
      <c r="AG28" s="1">
        <f>AVERAGEIF(baseCase_installedCap!$B$63:$BC$63,assumptions!AG$2,baseCase_installedCap!$B26:$BC26)</f>
        <v>3702411.6</v>
      </c>
      <c r="AH28" s="1">
        <f>AVERAGEIF(baseCase_installedCap!$B$63:$BC$63,assumptions!AH$2,baseCase_installedCap!$B26:$BC26)</f>
        <v>8269142.4000000004</v>
      </c>
      <c r="AI28" s="1">
        <f>AVERAGEIF(baseCase_installedCap!$B$63:$BC$63,assumptions!AI$2,baseCase_installedCap!$B26:$BC26)</f>
        <v>21784723.800000001</v>
      </c>
      <c r="AJ28" s="1">
        <f>AVERAGEIF(baseCase_installedCap!$B$63:$BC$63,assumptions!AJ$2,baseCase_installedCap!$B26:$BC26)</f>
        <v>1541613.6</v>
      </c>
      <c r="AL28" s="1">
        <f>AVERAGEIF(baseCase_percMembers!$B$63:$BC$63,assumptions!AL$2,baseCase_percMembers!$B26:$BC26)</f>
        <v>3.6606000000000001</v>
      </c>
      <c r="AM28" s="1">
        <f>AVERAGEIF(baseCase_percMembers!$B$63:$BC$63,assumptions!AM$2,baseCase_percMembers!$B26:$BC26)</f>
        <v>5.25</v>
      </c>
      <c r="AN28" s="1">
        <f>AVERAGEIF(baseCase_percMembers!$B$63:$BC$63,assumptions!AN$2,baseCase_percMembers!$B26:$BC26)</f>
        <v>6.9334000000000007</v>
      </c>
      <c r="AO28" s="1">
        <f>AVERAGEIF(baseCase_percMembers!$B$63:$BC$63,assumptions!AO$2,baseCase_percMembers!$B26:$BC26)</f>
        <v>7.0847999999999995</v>
      </c>
      <c r="AP28" s="1">
        <f>AVERAGEIF(baseCase_percMembers!$B$63:$BC$63,assumptions!AP$2,baseCase_percMembers!$B26:$BC26)</f>
        <v>8.5454000000000008</v>
      </c>
      <c r="AQ28" s="1">
        <f>AVERAGEIF(baseCase_percMembers!$B$63:$BC$63,assumptions!AQ$2,baseCase_percMembers!$B26:$BC26)</f>
        <v>9.3171999999999997</v>
      </c>
      <c r="AR28" s="1">
        <f>AVERAGEIF(baseCase_percMembers!$B$63:$BC$63,assumptions!AR$2,baseCase_percMembers!$B26:$BC26)</f>
        <v>20.806199999999997</v>
      </c>
      <c r="AS28" s="1">
        <f>AVERAGEIF(baseCase_percMembers!$B$63:$BC$63,assumptions!AS$2,baseCase_percMembers!$B26:$BC26)</f>
        <v>19.3856</v>
      </c>
      <c r="AT28" s="1">
        <f>AVERAGEIF(baseCase_percMembers!$B$63:$BC$63,assumptions!AT$2,baseCase_percMembers!$B26:$BC26)</f>
        <v>3.8822000000000001</v>
      </c>
    </row>
    <row r="29" spans="7:46" x14ac:dyDescent="0.3">
      <c r="G29">
        <v>2034</v>
      </c>
      <c r="H29" s="1">
        <f>AVERAGEIF(baseCase_projects!$B$63:$BC$63,assumptions!H$2,baseCase_projects!$B27:$BC27)</f>
        <v>3487.6</v>
      </c>
      <c r="I29" s="1">
        <f>AVERAGEIF(baseCase_projects!$B$63:$BC$63,assumptions!I$2,baseCase_projects!$B27:$BC27)</f>
        <v>5230</v>
      </c>
      <c r="J29" s="1">
        <f>AVERAGEIF(baseCase_projects!$B$63:$BC$63,assumptions!J$2,baseCase_projects!$B27:$BC27)</f>
        <v>7089.8</v>
      </c>
      <c r="K29" s="1">
        <f>AVERAGEIF(baseCase_projects!$B$63:$BC$63,assumptions!K$2,baseCase_projects!$B27:$BC27)</f>
        <v>7129.8</v>
      </c>
      <c r="L29" s="1">
        <f>AVERAGEIF(baseCase_projects!$B$63:$BC$63,assumptions!L$2,baseCase_projects!$B27:$BC27)</f>
        <v>8547.6</v>
      </c>
      <c r="M29" s="1">
        <f>AVERAGEIF(baseCase_projects!$B$63:$BC$63,assumptions!M$2,baseCase_projects!$B27:$BC27)</f>
        <v>9401.6</v>
      </c>
      <c r="N29" s="1">
        <f>AVERAGEIF(baseCase_projects!$B$63:$BC$63,assumptions!N$2,baseCase_projects!$B27:$BC27)</f>
        <v>21078.400000000001</v>
      </c>
      <c r="O29" s="1">
        <f>AVERAGEIF(baseCase_projects!$B$63:$BC$63,assumptions!O$2,baseCase_projects!$B27:$BC27)</f>
        <v>19197.8</v>
      </c>
      <c r="P29" s="1">
        <f>AVERAGEIF(baseCase_projects!$B$63:$BC$63,assumptions!P$2,baseCase_projects!$B27:$BC27)</f>
        <v>3781.6</v>
      </c>
      <c r="R29" s="1">
        <f>AVERAGEIF(baseCase_ECs!$B$63:$BC$63,assumptions!R$2,baseCase_ECs!$B27:$BC27)</f>
        <v>782.4</v>
      </c>
      <c r="S29" s="1">
        <f>AVERAGEIF(baseCase_ECs!$B$63:$BC$63,assumptions!S$2,baseCase_ECs!$B27:$BC27)</f>
        <v>884.6</v>
      </c>
      <c r="T29" s="1">
        <f>AVERAGEIF(baseCase_ECs!$B$63:$BC$63,assumptions!T$2,baseCase_ECs!$B27:$BC27)</f>
        <v>893</v>
      </c>
      <c r="U29" s="1">
        <f>AVERAGEIF(baseCase_ECs!$B$63:$BC$63,assumptions!U$2,baseCase_ECs!$B27:$BC27)</f>
        <v>850.4</v>
      </c>
      <c r="V29" s="1">
        <f>AVERAGEIF(baseCase_ECs!$B$63:$BC$63,assumptions!V$2,baseCase_ECs!$B27:$BC27)</f>
        <v>883.4</v>
      </c>
      <c r="W29" s="1">
        <f>AVERAGEIF(baseCase_ECs!$B$63:$BC$63,assumptions!W$2,baseCase_ECs!$B27:$BC27)</f>
        <v>897</v>
      </c>
      <c r="X29" s="1">
        <f>AVERAGEIF(baseCase_ECs!$B$63:$BC$63,assumptions!X$2,baseCase_ECs!$B27:$BC27)</f>
        <v>909.6</v>
      </c>
      <c r="Y29" s="1">
        <f>AVERAGEIF(baseCase_ECs!$B$63:$BC$63,assumptions!Y$2,baseCase_ECs!$B27:$BC27)</f>
        <v>912.2</v>
      </c>
      <c r="Z29" s="1">
        <f>AVERAGEIF(baseCase_ECs!$B$63:$BC$63,assumptions!Z$2,baseCase_ECs!$B27:$BC27)</f>
        <v>777</v>
      </c>
      <c r="AB29" s="1">
        <f>AVERAGEIF(baseCase_installedCap!$B$63:$BC$63,assumptions!AB$2,baseCase_installedCap!$B27:$BC27)</f>
        <v>1558957.2</v>
      </c>
      <c r="AC29" s="1">
        <f>AVERAGEIF(baseCase_installedCap!$B$63:$BC$63,assumptions!AC$2,baseCase_installedCap!$B27:$BC27)</f>
        <v>2337810</v>
      </c>
      <c r="AD29" s="1">
        <f>AVERAGEIF(baseCase_installedCap!$B$63:$BC$63,assumptions!AD$2,baseCase_installedCap!$B27:$BC27)</f>
        <v>3169140.6</v>
      </c>
      <c r="AE29" s="1">
        <f>AVERAGEIF(baseCase_installedCap!$B$63:$BC$63,assumptions!AE$2,baseCase_installedCap!$B27:$BC27)</f>
        <v>3187020.6</v>
      </c>
      <c r="AF29" s="1">
        <f>AVERAGEIF(baseCase_installedCap!$B$63:$BC$63,assumptions!AF$2,baseCase_installedCap!$B27:$BC27)</f>
        <v>3820777.2</v>
      </c>
      <c r="AG29" s="1">
        <f>AVERAGEIF(baseCase_installedCap!$B$63:$BC$63,assumptions!AG$2,baseCase_installedCap!$B27:$BC27)</f>
        <v>4202515.2</v>
      </c>
      <c r="AH29" s="1">
        <f>AVERAGEIF(baseCase_installedCap!$B$63:$BC$63,assumptions!AH$2,baseCase_installedCap!$B27:$BC27)</f>
        <v>9422044.8000000007</v>
      </c>
      <c r="AI29" s="1">
        <f>AVERAGEIF(baseCase_installedCap!$B$63:$BC$63,assumptions!AI$2,baseCase_installedCap!$B27:$BC27)</f>
        <v>24415765.800000001</v>
      </c>
      <c r="AJ29" s="1">
        <f>AVERAGEIF(baseCase_installedCap!$B$63:$BC$63,assumptions!AJ$2,baseCase_installedCap!$B27:$BC27)</f>
        <v>1690375.2</v>
      </c>
      <c r="AL29" s="1">
        <f>AVERAGEIF(baseCase_percMembers!$B$63:$BC$63,assumptions!AL$2,baseCase_percMembers!$B27:$BC27)</f>
        <v>3.9265999999999996</v>
      </c>
      <c r="AM29" s="1">
        <f>AVERAGEIF(baseCase_percMembers!$B$63:$BC$63,assumptions!AM$2,baseCase_percMembers!$B27:$BC27)</f>
        <v>5.8849999999999998</v>
      </c>
      <c r="AN29" s="1">
        <f>AVERAGEIF(baseCase_percMembers!$B$63:$BC$63,assumptions!AN$2,baseCase_percMembers!$B27:$BC27)</f>
        <v>7.9758000000000013</v>
      </c>
      <c r="AO29" s="1">
        <f>AVERAGEIF(baseCase_percMembers!$B$63:$BC$63,assumptions!AO$2,baseCase_percMembers!$B27:$BC27)</f>
        <v>8.0239999999999991</v>
      </c>
      <c r="AP29" s="1">
        <f>AVERAGEIF(baseCase_percMembers!$B$63:$BC$63,assumptions!AP$2,baseCase_percMembers!$B27:$BC27)</f>
        <v>9.6176000000000013</v>
      </c>
      <c r="AQ29" s="1">
        <f>AVERAGEIF(baseCase_percMembers!$B$63:$BC$63,assumptions!AQ$2,baseCase_percMembers!$B27:$BC27)</f>
        <v>10.575199999999999</v>
      </c>
      <c r="AR29" s="1">
        <f>AVERAGEIF(baseCase_percMembers!$B$63:$BC$63,assumptions!AR$2,baseCase_percMembers!$B27:$BC27)</f>
        <v>23.706200000000003</v>
      </c>
      <c r="AS29" s="1">
        <f>AVERAGEIF(baseCase_percMembers!$B$63:$BC$63,assumptions!AS$2,baseCase_percMembers!$B27:$BC27)</f>
        <v>21.5914</v>
      </c>
      <c r="AT29" s="1">
        <f>AVERAGEIF(baseCase_percMembers!$B$63:$BC$63,assumptions!AT$2,baseCase_percMembers!$B27:$BC27)</f>
        <v>4.2568000000000001</v>
      </c>
    </row>
    <row r="30" spans="7:46" x14ac:dyDescent="0.3">
      <c r="G30">
        <v>2035</v>
      </c>
      <c r="H30" s="1">
        <f>AVERAGEIF(baseCase_projects!$B$63:$BC$63,assumptions!H$2,baseCase_projects!$B28:$BC28)</f>
        <v>3836.6</v>
      </c>
      <c r="I30" s="1">
        <f>AVERAGEIF(baseCase_projects!$B$63:$BC$63,assumptions!I$2,baseCase_projects!$B28:$BC28)</f>
        <v>5857</v>
      </c>
      <c r="J30" s="1">
        <f>AVERAGEIF(baseCase_projects!$B$63:$BC$63,assumptions!J$2,baseCase_projects!$B28:$BC28)</f>
        <v>8073.8</v>
      </c>
      <c r="K30" s="1">
        <f>AVERAGEIF(baseCase_projects!$B$63:$BC$63,assumptions!K$2,baseCase_projects!$B28:$BC28)</f>
        <v>8147.2</v>
      </c>
      <c r="L30" s="1">
        <f>AVERAGEIF(baseCase_projects!$B$63:$BC$63,assumptions!L$2,baseCase_projects!$B28:$BC28)</f>
        <v>9627</v>
      </c>
      <c r="M30" s="1">
        <f>AVERAGEIF(baseCase_projects!$B$63:$BC$63,assumptions!M$2,baseCase_projects!$B28:$BC28)</f>
        <v>10561.6</v>
      </c>
      <c r="N30" s="1">
        <f>AVERAGEIF(baseCase_projects!$B$63:$BC$63,assumptions!N$2,baseCase_projects!$B28:$BC28)</f>
        <v>23353.599999999999</v>
      </c>
      <c r="O30" s="1">
        <f>AVERAGEIF(baseCase_projects!$B$63:$BC$63,assumptions!O$2,baseCase_projects!$B28:$BC28)</f>
        <v>20958.8</v>
      </c>
      <c r="P30" s="1">
        <f>AVERAGEIF(baseCase_projects!$B$63:$BC$63,assumptions!P$2,baseCase_projects!$B28:$BC28)</f>
        <v>4185.6000000000004</v>
      </c>
      <c r="R30" s="1">
        <f>AVERAGEIF(baseCase_ECs!$B$63:$BC$63,assumptions!R$2,baseCase_ECs!$B28:$BC28)</f>
        <v>790.6</v>
      </c>
      <c r="S30" s="1">
        <f>AVERAGEIF(baseCase_ECs!$B$63:$BC$63,assumptions!S$2,baseCase_ECs!$B28:$BC28)</f>
        <v>888</v>
      </c>
      <c r="T30" s="1">
        <f>AVERAGEIF(baseCase_ECs!$B$63:$BC$63,assumptions!T$2,baseCase_ECs!$B28:$BC28)</f>
        <v>895.8</v>
      </c>
      <c r="U30" s="1">
        <f>AVERAGEIF(baseCase_ECs!$B$63:$BC$63,assumptions!U$2,baseCase_ECs!$B28:$BC28)</f>
        <v>862</v>
      </c>
      <c r="V30" s="1">
        <f>AVERAGEIF(baseCase_ECs!$B$63:$BC$63,assumptions!V$2,baseCase_ECs!$B28:$BC28)</f>
        <v>889.6</v>
      </c>
      <c r="W30" s="1">
        <f>AVERAGEIF(baseCase_ECs!$B$63:$BC$63,assumptions!W$2,baseCase_ECs!$B28:$BC28)</f>
        <v>900.4</v>
      </c>
      <c r="X30" s="1">
        <f>AVERAGEIF(baseCase_ECs!$B$63:$BC$63,assumptions!X$2,baseCase_ECs!$B28:$BC28)</f>
        <v>913.4</v>
      </c>
      <c r="Y30" s="1">
        <f>AVERAGEIF(baseCase_ECs!$B$63:$BC$63,assumptions!Y$2,baseCase_ECs!$B28:$BC28)</f>
        <v>913.6</v>
      </c>
      <c r="Z30" s="1">
        <f>AVERAGEIF(baseCase_ECs!$B$63:$BC$63,assumptions!Z$2,baseCase_ECs!$B28:$BC28)</f>
        <v>784.4</v>
      </c>
      <c r="AB30" s="1">
        <f>AVERAGEIF(baseCase_installedCap!$B$63:$BC$63,assumptions!AB$2,baseCase_installedCap!$B28:$BC28)</f>
        <v>1714960.2</v>
      </c>
      <c r="AC30" s="1">
        <f>AVERAGEIF(baseCase_installedCap!$B$63:$BC$63,assumptions!AC$2,baseCase_installedCap!$B28:$BC28)</f>
        <v>2618079</v>
      </c>
      <c r="AD30" s="1">
        <f>AVERAGEIF(baseCase_installedCap!$B$63:$BC$63,assumptions!AD$2,baseCase_installedCap!$B28:$BC28)</f>
        <v>3608988.6</v>
      </c>
      <c r="AE30" s="1">
        <f>AVERAGEIF(baseCase_installedCap!$B$63:$BC$63,assumptions!AE$2,baseCase_installedCap!$B28:$BC28)</f>
        <v>3641798.4</v>
      </c>
      <c r="AF30" s="1">
        <f>AVERAGEIF(baseCase_installedCap!$B$63:$BC$63,assumptions!AF$2,baseCase_installedCap!$B28:$BC28)</f>
        <v>4303269</v>
      </c>
      <c r="AG30" s="1">
        <f>AVERAGEIF(baseCase_installedCap!$B$63:$BC$63,assumptions!AG$2,baseCase_installedCap!$B28:$BC28)</f>
        <v>4721035.2</v>
      </c>
      <c r="AH30" s="1">
        <f>AVERAGEIF(baseCase_installedCap!$B$63:$BC$63,assumptions!AH$2,baseCase_installedCap!$B28:$BC28)</f>
        <v>10439059.199999999</v>
      </c>
      <c r="AI30" s="1">
        <f>AVERAGEIF(baseCase_installedCap!$B$63:$BC$63,assumptions!AI$2,baseCase_installedCap!$B28:$BC28)</f>
        <v>26777266.800000001</v>
      </c>
      <c r="AJ30" s="1">
        <f>AVERAGEIF(baseCase_installedCap!$B$63:$BC$63,assumptions!AJ$2,baseCase_installedCap!$B28:$BC28)</f>
        <v>1870963.2</v>
      </c>
      <c r="AL30" s="1">
        <f>AVERAGEIF(baseCase_percMembers!$B$63:$BC$63,assumptions!AL$2,baseCase_percMembers!$B28:$BC28)</f>
        <v>4.3193999999999999</v>
      </c>
      <c r="AM30" s="1">
        <f>AVERAGEIF(baseCase_percMembers!$B$63:$BC$63,assumptions!AM$2,baseCase_percMembers!$B28:$BC28)</f>
        <v>6.5894000000000004</v>
      </c>
      <c r="AN30" s="1">
        <f>AVERAGEIF(baseCase_percMembers!$B$63:$BC$63,assumptions!AN$2,baseCase_percMembers!$B28:$BC28)</f>
        <v>9.081999999999999</v>
      </c>
      <c r="AO30" s="1">
        <f>AVERAGEIF(baseCase_percMembers!$B$63:$BC$63,assumptions!AO$2,baseCase_percMembers!$B28:$BC28)</f>
        <v>9.1682000000000006</v>
      </c>
      <c r="AP30" s="1">
        <f>AVERAGEIF(baseCase_percMembers!$B$63:$BC$63,assumptions!AP$2,baseCase_percMembers!$B28:$BC28)</f>
        <v>10.8308</v>
      </c>
      <c r="AQ30" s="1">
        <f>AVERAGEIF(baseCase_percMembers!$B$63:$BC$63,assumptions!AQ$2,baseCase_percMembers!$B28:$BC28)</f>
        <v>11.879</v>
      </c>
      <c r="AR30" s="1">
        <f>AVERAGEIF(baseCase_percMembers!$B$63:$BC$63,assumptions!AR$2,baseCase_percMembers!$B28:$BC28)</f>
        <v>26.264799999999997</v>
      </c>
      <c r="AS30" s="1">
        <f>AVERAGEIF(baseCase_percMembers!$B$63:$BC$63,assumptions!AS$2,baseCase_percMembers!$B28:$BC28)</f>
        <v>23.5716</v>
      </c>
      <c r="AT30" s="1">
        <f>AVERAGEIF(baseCase_percMembers!$B$63:$BC$63,assumptions!AT$2,baseCase_percMembers!$B28:$BC28)</f>
        <v>4.7114000000000003</v>
      </c>
    </row>
    <row r="31" spans="7:46" x14ac:dyDescent="0.3">
      <c r="G31">
        <v>2036</v>
      </c>
      <c r="H31" s="1">
        <f>AVERAGEIF(baseCase_projects!$B$63:$BC$63,assumptions!H$2,baseCase_projects!$B29:$BC29)</f>
        <v>4168.2</v>
      </c>
      <c r="I31" s="1">
        <f>AVERAGEIF(baseCase_projects!$B$63:$BC$63,assumptions!I$2,baseCase_projects!$B29:$BC29)</f>
        <v>6398.2</v>
      </c>
      <c r="J31" s="1">
        <f>AVERAGEIF(baseCase_projects!$B$63:$BC$63,assumptions!J$2,baseCase_projects!$B29:$BC29)</f>
        <v>9007</v>
      </c>
      <c r="K31" s="1">
        <f>AVERAGEIF(baseCase_projects!$B$63:$BC$63,assumptions!K$2,baseCase_projects!$B29:$BC29)</f>
        <v>9202.6</v>
      </c>
      <c r="L31" s="1">
        <f>AVERAGEIF(baseCase_projects!$B$63:$BC$63,assumptions!L$2,baseCase_projects!$B29:$BC29)</f>
        <v>10770.6</v>
      </c>
      <c r="M31" s="1">
        <f>AVERAGEIF(baseCase_projects!$B$63:$BC$63,assumptions!M$2,baseCase_projects!$B29:$BC29)</f>
        <v>11641.2</v>
      </c>
      <c r="N31" s="1">
        <f>AVERAGEIF(baseCase_projects!$B$63:$BC$63,assumptions!N$2,baseCase_projects!$B29:$BC29)</f>
        <v>25697</v>
      </c>
      <c r="O31" s="1">
        <f>AVERAGEIF(baseCase_projects!$B$63:$BC$63,assumptions!O$2,baseCase_projects!$B29:$BC29)</f>
        <v>22623.200000000001</v>
      </c>
      <c r="P31" s="1">
        <f>AVERAGEIF(baseCase_projects!$B$63:$BC$63,assumptions!P$2,baseCase_projects!$B29:$BC29)</f>
        <v>4604</v>
      </c>
      <c r="R31" s="1">
        <f>AVERAGEIF(baseCase_ECs!$B$63:$BC$63,assumptions!R$2,baseCase_ECs!$B29:$BC29)</f>
        <v>799.2</v>
      </c>
      <c r="S31" s="1">
        <f>AVERAGEIF(baseCase_ECs!$B$63:$BC$63,assumptions!S$2,baseCase_ECs!$B29:$BC29)</f>
        <v>890.8</v>
      </c>
      <c r="T31" s="1">
        <f>AVERAGEIF(baseCase_ECs!$B$63:$BC$63,assumptions!T$2,baseCase_ECs!$B29:$BC29)</f>
        <v>897.8</v>
      </c>
      <c r="U31" s="1">
        <f>AVERAGEIF(baseCase_ECs!$B$63:$BC$63,assumptions!U$2,baseCase_ECs!$B29:$BC29)</f>
        <v>871.4</v>
      </c>
      <c r="V31" s="1">
        <f>AVERAGEIF(baseCase_ECs!$B$63:$BC$63,assumptions!V$2,baseCase_ECs!$B29:$BC29)</f>
        <v>894.8</v>
      </c>
      <c r="W31" s="1">
        <f>AVERAGEIF(baseCase_ECs!$B$63:$BC$63,assumptions!W$2,baseCase_ECs!$B29:$BC29)</f>
        <v>902.8</v>
      </c>
      <c r="X31" s="1">
        <f>AVERAGEIF(baseCase_ECs!$B$63:$BC$63,assumptions!X$2,baseCase_ECs!$B29:$BC29)</f>
        <v>915.6</v>
      </c>
      <c r="Y31" s="1">
        <f>AVERAGEIF(baseCase_ECs!$B$63:$BC$63,assumptions!Y$2,baseCase_ECs!$B29:$BC29)</f>
        <v>915</v>
      </c>
      <c r="Z31" s="1">
        <f>AVERAGEIF(baseCase_ECs!$B$63:$BC$63,assumptions!Z$2,baseCase_ECs!$B29:$BC29)</f>
        <v>791.8</v>
      </c>
      <c r="AB31" s="1">
        <f>AVERAGEIF(baseCase_installedCap!$B$63:$BC$63,assumptions!AB$2,baseCase_installedCap!$B29:$BC29)</f>
        <v>1863185.4</v>
      </c>
      <c r="AC31" s="1">
        <f>AVERAGEIF(baseCase_installedCap!$B$63:$BC$63,assumptions!AC$2,baseCase_installedCap!$B29:$BC29)</f>
        <v>2859995.4</v>
      </c>
      <c r="AD31" s="1">
        <f>AVERAGEIF(baseCase_installedCap!$B$63:$BC$63,assumptions!AD$2,baseCase_installedCap!$B29:$BC29)</f>
        <v>4026129</v>
      </c>
      <c r="AE31" s="1">
        <f>AVERAGEIF(baseCase_installedCap!$B$63:$BC$63,assumptions!AE$2,baseCase_installedCap!$B29:$BC29)</f>
        <v>4113562.2</v>
      </c>
      <c r="AF31" s="1">
        <f>AVERAGEIF(baseCase_installedCap!$B$63:$BC$63,assumptions!AF$2,baseCase_installedCap!$B29:$BC29)</f>
        <v>4814458.2</v>
      </c>
      <c r="AG31" s="1">
        <f>AVERAGEIF(baseCase_installedCap!$B$63:$BC$63,assumptions!AG$2,baseCase_installedCap!$B29:$BC29)</f>
        <v>5203616.4000000004</v>
      </c>
      <c r="AH31" s="1">
        <f>AVERAGEIF(baseCase_installedCap!$B$63:$BC$63,assumptions!AH$2,baseCase_installedCap!$B29:$BC29)</f>
        <v>11486559</v>
      </c>
      <c r="AI31" s="1">
        <f>AVERAGEIF(baseCase_installedCap!$B$63:$BC$63,assumptions!AI$2,baseCase_installedCap!$B29:$BC29)</f>
        <v>29009227.199999999</v>
      </c>
      <c r="AJ31" s="1">
        <f>AVERAGEIF(baseCase_installedCap!$B$63:$BC$63,assumptions!AJ$2,baseCase_installedCap!$B29:$BC29)</f>
        <v>2057988</v>
      </c>
      <c r="AL31" s="1">
        <f>AVERAGEIF(baseCase_percMembers!$B$63:$BC$63,assumptions!AL$2,baseCase_percMembers!$B29:$BC29)</f>
        <v>4.6926000000000005</v>
      </c>
      <c r="AM31" s="1">
        <f>AVERAGEIF(baseCase_percMembers!$B$63:$BC$63,assumptions!AM$2,baseCase_percMembers!$B29:$BC29)</f>
        <v>7.1975999999999996</v>
      </c>
      <c r="AN31" s="1">
        <f>AVERAGEIF(baseCase_percMembers!$B$63:$BC$63,assumptions!AN$2,baseCase_percMembers!$B29:$BC29)</f>
        <v>10.130800000000001</v>
      </c>
      <c r="AO31" s="1">
        <f>AVERAGEIF(baseCase_percMembers!$B$63:$BC$63,assumptions!AO$2,baseCase_percMembers!$B29:$BC29)</f>
        <v>10.355399999999999</v>
      </c>
      <c r="AP31" s="1">
        <f>AVERAGEIF(baseCase_percMembers!$B$63:$BC$63,assumptions!AP$2,baseCase_percMembers!$B29:$BC29)</f>
        <v>12.116</v>
      </c>
      <c r="AQ31" s="1">
        <f>AVERAGEIF(baseCase_percMembers!$B$63:$BC$63,assumptions!AQ$2,baseCase_percMembers!$B29:$BC29)</f>
        <v>13.0932</v>
      </c>
      <c r="AR31" s="1">
        <f>AVERAGEIF(baseCase_percMembers!$B$63:$BC$63,assumptions!AR$2,baseCase_percMembers!$B29:$BC29)</f>
        <v>28.900200000000002</v>
      </c>
      <c r="AS31" s="1">
        <f>AVERAGEIF(baseCase_percMembers!$B$63:$BC$63,assumptions!AS$2,baseCase_percMembers!$B29:$BC29)</f>
        <v>25.4434</v>
      </c>
      <c r="AT31" s="1">
        <f>AVERAGEIF(baseCase_percMembers!$B$63:$BC$63,assumptions!AT$2,baseCase_percMembers!$B29:$BC29)</f>
        <v>5.1823999999999995</v>
      </c>
    </row>
    <row r="32" spans="7:46" x14ac:dyDescent="0.3">
      <c r="G32">
        <v>2037</v>
      </c>
      <c r="H32" s="1">
        <f>AVERAGEIF(baseCase_projects!$B$63:$BC$63,assumptions!H$2,baseCase_projects!$B30:$BC30)</f>
        <v>4451.6000000000004</v>
      </c>
      <c r="I32" s="1">
        <f>AVERAGEIF(baseCase_projects!$B$63:$BC$63,assumptions!I$2,baseCase_projects!$B30:$BC30)</f>
        <v>6753.2</v>
      </c>
      <c r="J32" s="1">
        <f>AVERAGEIF(baseCase_projects!$B$63:$BC$63,assumptions!J$2,baseCase_projects!$B30:$BC30)</f>
        <v>9756.2000000000007</v>
      </c>
      <c r="K32" s="1">
        <f>AVERAGEIF(baseCase_projects!$B$63:$BC$63,assumptions!K$2,baseCase_projects!$B30:$BC30)</f>
        <v>10184.200000000001</v>
      </c>
      <c r="L32" s="1">
        <f>AVERAGEIF(baseCase_projects!$B$63:$BC$63,assumptions!L$2,baseCase_projects!$B30:$BC30)</f>
        <v>11818.8</v>
      </c>
      <c r="M32" s="1">
        <f>AVERAGEIF(baseCase_projects!$B$63:$BC$63,assumptions!M$2,baseCase_projects!$B30:$BC30)</f>
        <v>12591.6</v>
      </c>
      <c r="N32" s="1">
        <f>AVERAGEIF(baseCase_projects!$B$63:$BC$63,assumptions!N$2,baseCase_projects!$B30:$BC30)</f>
        <v>27938</v>
      </c>
      <c r="O32" s="1">
        <f>AVERAGEIF(baseCase_projects!$B$63:$BC$63,assumptions!O$2,baseCase_projects!$B30:$BC30)</f>
        <v>24193.8</v>
      </c>
      <c r="P32" s="1">
        <f>AVERAGEIF(baseCase_projects!$B$63:$BC$63,assumptions!P$2,baseCase_projects!$B30:$BC30)</f>
        <v>5002.3999999999996</v>
      </c>
      <c r="R32" s="1">
        <f>AVERAGEIF(baseCase_ECs!$B$63:$BC$63,assumptions!R$2,baseCase_ECs!$B30:$BC30)</f>
        <v>805.6</v>
      </c>
      <c r="S32" s="1">
        <f>AVERAGEIF(baseCase_ECs!$B$63:$BC$63,assumptions!S$2,baseCase_ECs!$B30:$BC30)</f>
        <v>892.8</v>
      </c>
      <c r="T32" s="1">
        <f>AVERAGEIF(baseCase_ECs!$B$63:$BC$63,assumptions!T$2,baseCase_ECs!$B30:$BC30)</f>
        <v>901.2</v>
      </c>
      <c r="U32" s="1">
        <f>AVERAGEIF(baseCase_ECs!$B$63:$BC$63,assumptions!U$2,baseCase_ECs!$B30:$BC30)</f>
        <v>879.2</v>
      </c>
      <c r="V32" s="1">
        <f>AVERAGEIF(baseCase_ECs!$B$63:$BC$63,assumptions!V$2,baseCase_ECs!$B30:$BC30)</f>
        <v>898.6</v>
      </c>
      <c r="W32" s="1">
        <f>AVERAGEIF(baseCase_ECs!$B$63:$BC$63,assumptions!W$2,baseCase_ECs!$B30:$BC30)</f>
        <v>905.4</v>
      </c>
      <c r="X32" s="1">
        <f>AVERAGEIF(baseCase_ECs!$B$63:$BC$63,assumptions!X$2,baseCase_ECs!$B30:$BC30)</f>
        <v>917</v>
      </c>
      <c r="Y32" s="1">
        <f>AVERAGEIF(baseCase_ECs!$B$63:$BC$63,assumptions!Y$2,baseCase_ECs!$B30:$BC30)</f>
        <v>916</v>
      </c>
      <c r="Z32" s="1">
        <f>AVERAGEIF(baseCase_ECs!$B$63:$BC$63,assumptions!Z$2,baseCase_ECs!$B30:$BC30)</f>
        <v>802.4</v>
      </c>
      <c r="AB32" s="1">
        <f>AVERAGEIF(baseCase_installedCap!$B$63:$BC$63,assumptions!AB$2,baseCase_installedCap!$B30:$BC30)</f>
        <v>1989865.2</v>
      </c>
      <c r="AC32" s="1">
        <f>AVERAGEIF(baseCase_installedCap!$B$63:$BC$63,assumptions!AC$2,baseCase_installedCap!$B30:$BC30)</f>
        <v>3018680.4</v>
      </c>
      <c r="AD32" s="1">
        <f>AVERAGEIF(baseCase_installedCap!$B$63:$BC$63,assumptions!AD$2,baseCase_installedCap!$B30:$BC30)</f>
        <v>4361021.4000000004</v>
      </c>
      <c r="AE32" s="1">
        <f>AVERAGEIF(baseCase_installedCap!$B$63:$BC$63,assumptions!AE$2,baseCase_installedCap!$B30:$BC30)</f>
        <v>4552337.4000000004</v>
      </c>
      <c r="AF32" s="1">
        <f>AVERAGEIF(baseCase_installedCap!$B$63:$BC$63,assumptions!AF$2,baseCase_installedCap!$B30:$BC30)</f>
        <v>5283003.5999999996</v>
      </c>
      <c r="AG32" s="1">
        <f>AVERAGEIF(baseCase_installedCap!$B$63:$BC$63,assumptions!AG$2,baseCase_installedCap!$B30:$BC30)</f>
        <v>5628445.2000000002</v>
      </c>
      <c r="AH32" s="1">
        <f>AVERAGEIF(baseCase_installedCap!$B$63:$BC$63,assumptions!AH$2,baseCase_installedCap!$B30:$BC30)</f>
        <v>12488286</v>
      </c>
      <c r="AI32" s="1">
        <f>AVERAGEIF(baseCase_installedCap!$B$63:$BC$63,assumptions!AI$2,baseCase_installedCap!$B30:$BC30)</f>
        <v>31115401.800000001</v>
      </c>
      <c r="AJ32" s="1">
        <f>AVERAGEIF(baseCase_installedCap!$B$63:$BC$63,assumptions!AJ$2,baseCase_installedCap!$B30:$BC30)</f>
        <v>2236072.7999999998</v>
      </c>
      <c r="AL32" s="1">
        <f>AVERAGEIF(baseCase_percMembers!$B$63:$BC$63,assumptions!AL$2,baseCase_percMembers!$B30:$BC30)</f>
        <v>5.0114000000000001</v>
      </c>
      <c r="AM32" s="1">
        <f>AVERAGEIF(baseCase_percMembers!$B$63:$BC$63,assumptions!AM$2,baseCase_percMembers!$B30:$BC30)</f>
        <v>7.5961999999999987</v>
      </c>
      <c r="AN32" s="1">
        <f>AVERAGEIF(baseCase_percMembers!$B$63:$BC$63,assumptions!AN$2,baseCase_percMembers!$B30:$BC30)</f>
        <v>10.973400000000002</v>
      </c>
      <c r="AO32" s="1">
        <f>AVERAGEIF(baseCase_percMembers!$B$63:$BC$63,assumptions!AO$2,baseCase_percMembers!$B30:$BC30)</f>
        <v>11.4588</v>
      </c>
      <c r="AP32" s="1">
        <f>AVERAGEIF(baseCase_percMembers!$B$63:$BC$63,assumptions!AP$2,baseCase_percMembers!$B30:$BC30)</f>
        <v>13.294</v>
      </c>
      <c r="AQ32" s="1">
        <f>AVERAGEIF(baseCase_percMembers!$B$63:$BC$63,assumptions!AQ$2,baseCase_percMembers!$B30:$BC30)</f>
        <v>14.161599999999998</v>
      </c>
      <c r="AR32" s="1">
        <f>AVERAGEIF(baseCase_percMembers!$B$63:$BC$63,assumptions!AR$2,baseCase_percMembers!$B30:$BC30)</f>
        <v>31.4206</v>
      </c>
      <c r="AS32" s="1">
        <f>AVERAGEIF(baseCase_percMembers!$B$63:$BC$63,assumptions!AS$2,baseCase_percMembers!$B30:$BC30)</f>
        <v>27.209999999999997</v>
      </c>
      <c r="AT32" s="1">
        <f>AVERAGEIF(baseCase_percMembers!$B$63:$BC$63,assumptions!AT$2,baseCase_percMembers!$B30:$BC30)</f>
        <v>5.6303999999999998</v>
      </c>
    </row>
    <row r="33" spans="7:46" x14ac:dyDescent="0.3">
      <c r="G33">
        <v>2038</v>
      </c>
      <c r="H33" s="1">
        <f>AVERAGEIF(baseCase_projects!$B$63:$BC$63,assumptions!H$2,baseCase_projects!$B31:$BC31)</f>
        <v>4759.3999999999996</v>
      </c>
      <c r="I33" s="1">
        <f>AVERAGEIF(baseCase_projects!$B$63:$BC$63,assumptions!I$2,baseCase_projects!$B31:$BC31)</f>
        <v>7356.6</v>
      </c>
      <c r="J33" s="1">
        <f>AVERAGEIF(baseCase_projects!$B$63:$BC$63,assumptions!J$2,baseCase_projects!$B31:$BC31)</f>
        <v>10634.8</v>
      </c>
      <c r="K33" s="1">
        <f>AVERAGEIF(baseCase_projects!$B$63:$BC$63,assumptions!K$2,baseCase_projects!$B31:$BC31)</f>
        <v>11015.4</v>
      </c>
      <c r="L33" s="1">
        <f>AVERAGEIF(baseCase_projects!$B$63:$BC$63,assumptions!L$2,baseCase_projects!$B31:$BC31)</f>
        <v>12739</v>
      </c>
      <c r="M33" s="1">
        <f>AVERAGEIF(baseCase_projects!$B$63:$BC$63,assumptions!M$2,baseCase_projects!$B31:$BC31)</f>
        <v>13485</v>
      </c>
      <c r="N33" s="1">
        <f>AVERAGEIF(baseCase_projects!$B$63:$BC$63,assumptions!N$2,baseCase_projects!$B31:$BC31)</f>
        <v>28953</v>
      </c>
      <c r="O33" s="1">
        <f>AVERAGEIF(baseCase_projects!$B$63:$BC$63,assumptions!O$2,baseCase_projects!$B31:$BC31)</f>
        <v>24950.6</v>
      </c>
      <c r="P33" s="1">
        <f>AVERAGEIF(baseCase_projects!$B$63:$BC$63,assumptions!P$2,baseCase_projects!$B31:$BC31)</f>
        <v>5423.4</v>
      </c>
      <c r="R33" s="1">
        <f>AVERAGEIF(baseCase_ECs!$B$63:$BC$63,assumptions!R$2,baseCase_ECs!$B31:$BC31)</f>
        <v>813.8</v>
      </c>
      <c r="S33" s="1">
        <f>AVERAGEIF(baseCase_ECs!$B$63:$BC$63,assumptions!S$2,baseCase_ECs!$B31:$BC31)</f>
        <v>896.8</v>
      </c>
      <c r="T33" s="1">
        <f>AVERAGEIF(baseCase_ECs!$B$63:$BC$63,assumptions!T$2,baseCase_ECs!$B31:$BC31)</f>
        <v>904</v>
      </c>
      <c r="U33" s="1">
        <f>AVERAGEIF(baseCase_ECs!$B$63:$BC$63,assumptions!U$2,baseCase_ECs!$B31:$BC31)</f>
        <v>884.6</v>
      </c>
      <c r="V33" s="1">
        <f>AVERAGEIF(baseCase_ECs!$B$63:$BC$63,assumptions!V$2,baseCase_ECs!$B31:$BC31)</f>
        <v>901.2</v>
      </c>
      <c r="W33" s="1">
        <f>AVERAGEIF(baseCase_ECs!$B$63:$BC$63,assumptions!W$2,baseCase_ECs!$B31:$BC31)</f>
        <v>907.8</v>
      </c>
      <c r="X33" s="1">
        <f>AVERAGEIF(baseCase_ECs!$B$63:$BC$63,assumptions!X$2,baseCase_ECs!$B31:$BC31)</f>
        <v>917.8</v>
      </c>
      <c r="Y33" s="1">
        <f>AVERAGEIF(baseCase_ECs!$B$63:$BC$63,assumptions!Y$2,baseCase_ECs!$B31:$BC31)</f>
        <v>916.6</v>
      </c>
      <c r="Z33" s="1">
        <f>AVERAGEIF(baseCase_ECs!$B$63:$BC$63,assumptions!Z$2,baseCase_ECs!$B31:$BC31)</f>
        <v>809</v>
      </c>
      <c r="AB33" s="1">
        <f>AVERAGEIF(baseCase_installedCap!$B$63:$BC$63,assumptions!AB$2,baseCase_installedCap!$B31:$BC31)</f>
        <v>2127451.7999999998</v>
      </c>
      <c r="AC33" s="1">
        <f>AVERAGEIF(baseCase_installedCap!$B$63:$BC$63,assumptions!AC$2,baseCase_installedCap!$B31:$BC31)</f>
        <v>3288400.2</v>
      </c>
      <c r="AD33" s="1">
        <f>AVERAGEIF(baseCase_installedCap!$B$63:$BC$63,assumptions!AD$2,baseCase_installedCap!$B31:$BC31)</f>
        <v>4753755.5999999996</v>
      </c>
      <c r="AE33" s="1">
        <f>AVERAGEIF(baseCase_installedCap!$B$63:$BC$63,assumptions!AE$2,baseCase_installedCap!$B31:$BC31)</f>
        <v>4923883.8</v>
      </c>
      <c r="AF33" s="1">
        <f>AVERAGEIF(baseCase_installedCap!$B$63:$BC$63,assumptions!AF$2,baseCase_installedCap!$B31:$BC31)</f>
        <v>5694333</v>
      </c>
      <c r="AG33" s="1">
        <f>AVERAGEIF(baseCase_installedCap!$B$63:$BC$63,assumptions!AG$2,baseCase_installedCap!$B31:$BC31)</f>
        <v>6027795</v>
      </c>
      <c r="AH33" s="1">
        <f>AVERAGEIF(baseCase_installedCap!$B$63:$BC$63,assumptions!AH$2,baseCase_installedCap!$B31:$BC31)</f>
        <v>12941991</v>
      </c>
      <c r="AI33" s="1">
        <f>AVERAGEIF(baseCase_installedCap!$B$63:$BC$63,assumptions!AI$2,baseCase_installedCap!$B31:$BC31)</f>
        <v>32130270.600000001</v>
      </c>
      <c r="AJ33" s="1">
        <f>AVERAGEIF(baseCase_installedCap!$B$63:$BC$63,assumptions!AJ$2,baseCase_installedCap!$B31:$BC31)</f>
        <v>2424259.7999999998</v>
      </c>
      <c r="AL33" s="1">
        <f>AVERAGEIF(baseCase_percMembers!$B$63:$BC$63,assumptions!AL$2,baseCase_percMembers!$B31:$BC31)</f>
        <v>5.3575999999999997</v>
      </c>
      <c r="AM33" s="1">
        <f>AVERAGEIF(baseCase_percMembers!$B$63:$BC$63,assumptions!AM$2,baseCase_percMembers!$B31:$BC31)</f>
        <v>8.2750000000000004</v>
      </c>
      <c r="AN33" s="1">
        <f>AVERAGEIF(baseCase_percMembers!$B$63:$BC$63,assumptions!AN$2,baseCase_percMembers!$B31:$BC31)</f>
        <v>11.961200000000002</v>
      </c>
      <c r="AO33" s="1">
        <f>AVERAGEIF(baseCase_percMembers!$B$63:$BC$63,assumptions!AO$2,baseCase_percMembers!$B31:$BC31)</f>
        <v>12.3934</v>
      </c>
      <c r="AP33" s="1">
        <f>AVERAGEIF(baseCase_percMembers!$B$63:$BC$63,assumptions!AP$2,baseCase_percMembers!$B31:$BC31)</f>
        <v>14.328800000000001</v>
      </c>
      <c r="AQ33" s="1">
        <f>AVERAGEIF(baseCase_percMembers!$B$63:$BC$63,assumptions!AQ$2,baseCase_percMembers!$B31:$BC31)</f>
        <v>15.166399999999999</v>
      </c>
      <c r="AR33" s="1">
        <f>AVERAGEIF(baseCase_percMembers!$B$63:$BC$63,assumptions!AR$2,baseCase_percMembers!$B31:$BC31)</f>
        <v>32.562199999999997</v>
      </c>
      <c r="AS33" s="1">
        <f>AVERAGEIF(baseCase_percMembers!$B$63:$BC$63,assumptions!AS$2,baseCase_percMembers!$B31:$BC31)</f>
        <v>28.061</v>
      </c>
      <c r="AT33" s="1">
        <f>AVERAGEIF(baseCase_percMembers!$B$63:$BC$63,assumptions!AT$2,baseCase_percMembers!$B31:$BC31)</f>
        <v>6.1044</v>
      </c>
    </row>
    <row r="34" spans="7:46" x14ac:dyDescent="0.3">
      <c r="G34">
        <v>2039</v>
      </c>
      <c r="H34" s="1">
        <f>AVERAGEIF(baseCase_projects!$B$63:$BC$63,assumptions!H$2,baseCase_projects!$B32:$BC32)</f>
        <v>5013.3999999999996</v>
      </c>
      <c r="I34" s="1">
        <f>AVERAGEIF(baseCase_projects!$B$63:$BC$63,assumptions!I$2,baseCase_projects!$B32:$BC32)</f>
        <v>8122.2</v>
      </c>
      <c r="J34" s="1">
        <f>AVERAGEIF(baseCase_projects!$B$63:$BC$63,assumptions!J$2,baseCase_projects!$B32:$BC32)</f>
        <v>11729.2</v>
      </c>
      <c r="K34" s="1">
        <f>AVERAGEIF(baseCase_projects!$B$63:$BC$63,assumptions!K$2,baseCase_projects!$B32:$BC32)</f>
        <v>11798.8</v>
      </c>
      <c r="L34" s="1">
        <f>AVERAGEIF(baseCase_projects!$B$63:$BC$63,assumptions!L$2,baseCase_projects!$B32:$BC32)</f>
        <v>13620.2</v>
      </c>
      <c r="M34" s="1">
        <f>AVERAGEIF(baseCase_projects!$B$63:$BC$63,assumptions!M$2,baseCase_projects!$B32:$BC32)</f>
        <v>14349.6</v>
      </c>
      <c r="N34" s="1">
        <f>AVERAGEIF(baseCase_projects!$B$63:$BC$63,assumptions!N$2,baseCase_projects!$B32:$BC32)</f>
        <v>30099.599999999999</v>
      </c>
      <c r="O34" s="1">
        <f>AVERAGEIF(baseCase_projects!$B$63:$BC$63,assumptions!O$2,baseCase_projects!$B32:$BC32)</f>
        <v>25783</v>
      </c>
      <c r="P34" s="1">
        <f>AVERAGEIF(baseCase_projects!$B$63:$BC$63,assumptions!P$2,baseCase_projects!$B32:$BC32)</f>
        <v>5852.6</v>
      </c>
      <c r="R34" s="1">
        <f>AVERAGEIF(baseCase_ECs!$B$63:$BC$63,assumptions!R$2,baseCase_ECs!$B32:$BC32)</f>
        <v>821</v>
      </c>
      <c r="S34" s="1">
        <f>AVERAGEIF(baseCase_ECs!$B$63:$BC$63,assumptions!S$2,baseCase_ECs!$B32:$BC32)</f>
        <v>898.8</v>
      </c>
      <c r="T34" s="1">
        <f>AVERAGEIF(baseCase_ECs!$B$63:$BC$63,assumptions!T$2,baseCase_ECs!$B32:$BC32)</f>
        <v>905.2</v>
      </c>
      <c r="U34" s="1">
        <f>AVERAGEIF(baseCase_ECs!$B$63:$BC$63,assumptions!U$2,baseCase_ECs!$B32:$BC32)</f>
        <v>889.6</v>
      </c>
      <c r="V34" s="1">
        <f>AVERAGEIF(baseCase_ECs!$B$63:$BC$63,assumptions!V$2,baseCase_ECs!$B32:$BC32)</f>
        <v>903.8</v>
      </c>
      <c r="W34" s="1">
        <f>AVERAGEIF(baseCase_ECs!$B$63:$BC$63,assumptions!W$2,baseCase_ECs!$B32:$BC32)</f>
        <v>909.4</v>
      </c>
      <c r="X34" s="1">
        <f>AVERAGEIF(baseCase_ECs!$B$63:$BC$63,assumptions!X$2,baseCase_ECs!$B32:$BC32)</f>
        <v>918.8</v>
      </c>
      <c r="Y34" s="1">
        <f>AVERAGEIF(baseCase_ECs!$B$63:$BC$63,assumptions!Y$2,baseCase_ECs!$B32:$BC32)</f>
        <v>917.4</v>
      </c>
      <c r="Z34" s="1">
        <f>AVERAGEIF(baseCase_ECs!$B$63:$BC$63,assumptions!Z$2,baseCase_ECs!$B32:$BC32)</f>
        <v>821</v>
      </c>
      <c r="AB34" s="1">
        <f>AVERAGEIF(baseCase_installedCap!$B$63:$BC$63,assumptions!AB$2,baseCase_installedCap!$B32:$BC32)</f>
        <v>2240989.7999999998</v>
      </c>
      <c r="AC34" s="1">
        <f>AVERAGEIF(baseCase_installedCap!$B$63:$BC$63,assumptions!AC$2,baseCase_installedCap!$B32:$BC32)</f>
        <v>3630623.4</v>
      </c>
      <c r="AD34" s="1">
        <f>AVERAGEIF(baseCase_installedCap!$B$63:$BC$63,assumptions!AD$2,baseCase_installedCap!$B32:$BC32)</f>
        <v>5242952.4000000004</v>
      </c>
      <c r="AE34" s="1">
        <f>AVERAGEIF(baseCase_installedCap!$B$63:$BC$63,assumptions!AE$2,baseCase_installedCap!$B32:$BC32)</f>
        <v>5274063.5999999996</v>
      </c>
      <c r="AF34" s="1">
        <f>AVERAGEIF(baseCase_installedCap!$B$63:$BC$63,assumptions!AF$2,baseCase_installedCap!$B32:$BC32)</f>
        <v>6088229.4000000004</v>
      </c>
      <c r="AG34" s="1">
        <f>AVERAGEIF(baseCase_installedCap!$B$63:$BC$63,assumptions!AG$2,baseCase_installedCap!$B32:$BC32)</f>
        <v>6414271.2000000002</v>
      </c>
      <c r="AH34" s="1">
        <f>AVERAGEIF(baseCase_installedCap!$B$63:$BC$63,assumptions!AH$2,baseCase_installedCap!$B32:$BC32)</f>
        <v>13454521.199999999</v>
      </c>
      <c r="AI34" s="1">
        <f>AVERAGEIF(baseCase_installedCap!$B$63:$BC$63,assumptions!AI$2,baseCase_installedCap!$B32:$BC32)</f>
        <v>33246519</v>
      </c>
      <c r="AJ34" s="1">
        <f>AVERAGEIF(baseCase_installedCap!$B$63:$BC$63,assumptions!AJ$2,baseCase_installedCap!$B32:$BC32)</f>
        <v>2616112.2000000002</v>
      </c>
      <c r="AL34" s="1">
        <f>AVERAGEIF(baseCase_percMembers!$B$63:$BC$63,assumptions!AL$2,baseCase_percMembers!$B32:$BC32)</f>
        <v>5.6433999999999997</v>
      </c>
      <c r="AM34" s="1">
        <f>AVERAGEIF(baseCase_percMembers!$B$63:$BC$63,assumptions!AM$2,baseCase_percMembers!$B32:$BC32)</f>
        <v>9.1356000000000019</v>
      </c>
      <c r="AN34" s="1">
        <f>AVERAGEIF(baseCase_percMembers!$B$63:$BC$63,assumptions!AN$2,baseCase_percMembers!$B32:$BC32)</f>
        <v>13.191800000000001</v>
      </c>
      <c r="AO34" s="1">
        <f>AVERAGEIF(baseCase_percMembers!$B$63:$BC$63,assumptions!AO$2,baseCase_percMembers!$B32:$BC32)</f>
        <v>13.274000000000001</v>
      </c>
      <c r="AP34" s="1">
        <f>AVERAGEIF(baseCase_percMembers!$B$63:$BC$63,assumptions!AP$2,baseCase_percMembers!$B32:$BC32)</f>
        <v>15.319399999999998</v>
      </c>
      <c r="AQ34" s="1">
        <f>AVERAGEIF(baseCase_percMembers!$B$63:$BC$63,assumptions!AQ$2,baseCase_percMembers!$B32:$BC32)</f>
        <v>16.1386</v>
      </c>
      <c r="AR34" s="1">
        <f>AVERAGEIF(baseCase_percMembers!$B$63:$BC$63,assumptions!AR$2,baseCase_percMembers!$B32:$BC32)</f>
        <v>33.851399999999998</v>
      </c>
      <c r="AS34" s="1">
        <f>AVERAGEIF(baseCase_percMembers!$B$63:$BC$63,assumptions!AS$2,baseCase_percMembers!$B32:$BC32)</f>
        <v>28.997200000000003</v>
      </c>
      <c r="AT34" s="1">
        <f>AVERAGEIF(baseCase_percMembers!$B$63:$BC$63,assumptions!AT$2,baseCase_percMembers!$B32:$BC32)</f>
        <v>6.5876000000000001</v>
      </c>
    </row>
    <row r="35" spans="7:46" x14ac:dyDescent="0.3">
      <c r="G35">
        <v>2040</v>
      </c>
      <c r="H35" s="1">
        <f>AVERAGEIF(baseCase_projects!$B$63:$BC$63,assumptions!H$2,baseCase_projects!$B33:$BC33)</f>
        <v>5316.6</v>
      </c>
      <c r="I35" s="1">
        <f>AVERAGEIF(baseCase_projects!$B$63:$BC$63,assumptions!I$2,baseCase_projects!$B33:$BC33)</f>
        <v>8881.7999999999993</v>
      </c>
      <c r="J35" s="1">
        <f>AVERAGEIF(baseCase_projects!$B$63:$BC$63,assumptions!J$2,baseCase_projects!$B33:$BC33)</f>
        <v>12682.6</v>
      </c>
      <c r="K35" s="1">
        <f>AVERAGEIF(baseCase_projects!$B$63:$BC$63,assumptions!K$2,baseCase_projects!$B33:$BC33)</f>
        <v>12684</v>
      </c>
      <c r="L35" s="1">
        <f>AVERAGEIF(baseCase_projects!$B$63:$BC$63,assumptions!L$2,baseCase_projects!$B33:$BC33)</f>
        <v>14610.2</v>
      </c>
      <c r="M35" s="1">
        <f>AVERAGEIF(baseCase_projects!$B$63:$BC$63,assumptions!M$2,baseCase_projects!$B33:$BC33)</f>
        <v>15216.4</v>
      </c>
      <c r="N35" s="1">
        <f>AVERAGEIF(baseCase_projects!$B$63:$BC$63,assumptions!N$2,baseCase_projects!$B33:$BC33)</f>
        <v>31322</v>
      </c>
      <c r="O35" s="1">
        <f>AVERAGEIF(baseCase_projects!$B$63:$BC$63,assumptions!O$2,baseCase_projects!$B33:$BC33)</f>
        <v>26435.4</v>
      </c>
      <c r="P35" s="1">
        <f>AVERAGEIF(baseCase_projects!$B$63:$BC$63,assumptions!P$2,baseCase_projects!$B33:$BC33)</f>
        <v>6330.6</v>
      </c>
      <c r="R35" s="1">
        <f>AVERAGEIF(baseCase_ECs!$B$63:$BC$63,assumptions!R$2,baseCase_ECs!$B33:$BC33)</f>
        <v>827.8</v>
      </c>
      <c r="S35" s="1">
        <f>AVERAGEIF(baseCase_ECs!$B$63:$BC$63,assumptions!S$2,baseCase_ECs!$B33:$BC33)</f>
        <v>901.2</v>
      </c>
      <c r="T35" s="1">
        <f>AVERAGEIF(baseCase_ECs!$B$63:$BC$63,assumptions!T$2,baseCase_ECs!$B33:$BC33)</f>
        <v>906.8</v>
      </c>
      <c r="U35" s="1">
        <f>AVERAGEIF(baseCase_ECs!$B$63:$BC$63,assumptions!U$2,baseCase_ECs!$B33:$BC33)</f>
        <v>892.6</v>
      </c>
      <c r="V35" s="1">
        <f>AVERAGEIF(baseCase_ECs!$B$63:$BC$63,assumptions!V$2,baseCase_ECs!$B33:$BC33)</f>
        <v>906</v>
      </c>
      <c r="W35" s="1">
        <f>AVERAGEIF(baseCase_ECs!$B$63:$BC$63,assumptions!W$2,baseCase_ECs!$B33:$BC33)</f>
        <v>910.6</v>
      </c>
      <c r="X35" s="1">
        <f>AVERAGEIF(baseCase_ECs!$B$63:$BC$63,assumptions!X$2,baseCase_ECs!$B33:$BC33)</f>
        <v>919.2</v>
      </c>
      <c r="Y35" s="1">
        <f>AVERAGEIF(baseCase_ECs!$B$63:$BC$63,assumptions!Y$2,baseCase_ECs!$B33:$BC33)</f>
        <v>918</v>
      </c>
      <c r="Z35" s="1">
        <f>AVERAGEIF(baseCase_ECs!$B$63:$BC$63,assumptions!Z$2,baseCase_ECs!$B33:$BC33)</f>
        <v>828</v>
      </c>
      <c r="AB35" s="1">
        <f>AVERAGEIF(baseCase_installedCap!$B$63:$BC$63,assumptions!AB$2,baseCase_installedCap!$B33:$BC33)</f>
        <v>2376520.2000000002</v>
      </c>
      <c r="AC35" s="1">
        <f>AVERAGEIF(baseCase_installedCap!$B$63:$BC$63,assumptions!AC$2,baseCase_installedCap!$B33:$BC33)</f>
        <v>3970164.6</v>
      </c>
      <c r="AD35" s="1">
        <f>AVERAGEIF(baseCase_installedCap!$B$63:$BC$63,assumptions!AD$2,baseCase_installedCap!$B33:$BC33)</f>
        <v>5669122.2000000002</v>
      </c>
      <c r="AE35" s="1">
        <f>AVERAGEIF(baseCase_installedCap!$B$63:$BC$63,assumptions!AE$2,baseCase_installedCap!$B33:$BC33)</f>
        <v>5669748</v>
      </c>
      <c r="AF35" s="1">
        <f>AVERAGEIF(baseCase_installedCap!$B$63:$BC$63,assumptions!AF$2,baseCase_installedCap!$B33:$BC33)</f>
        <v>6530759.4000000004</v>
      </c>
      <c r="AG35" s="1">
        <f>AVERAGEIF(baseCase_installedCap!$B$63:$BC$63,assumptions!AG$2,baseCase_installedCap!$B33:$BC33)</f>
        <v>6801730.7999999998</v>
      </c>
      <c r="AH35" s="1">
        <f>AVERAGEIF(baseCase_installedCap!$B$63:$BC$63,assumptions!AH$2,baseCase_installedCap!$B33:$BC33)</f>
        <v>14000934</v>
      </c>
      <c r="AI35" s="1">
        <f>AVERAGEIF(baseCase_installedCap!$B$63:$BC$63,assumptions!AI$2,baseCase_installedCap!$B33:$BC33)</f>
        <v>34121387.399999999</v>
      </c>
      <c r="AJ35" s="1">
        <f>AVERAGEIF(baseCase_installedCap!$B$63:$BC$63,assumptions!AJ$2,baseCase_installedCap!$B33:$BC33)</f>
        <v>2829778.2</v>
      </c>
      <c r="AL35" s="1">
        <f>AVERAGEIF(baseCase_percMembers!$B$63:$BC$63,assumptions!AL$2,baseCase_percMembers!$B33:$BC33)</f>
        <v>5.9849999999999994</v>
      </c>
      <c r="AM35" s="1">
        <f>AVERAGEIF(baseCase_percMembers!$B$63:$BC$63,assumptions!AM$2,baseCase_percMembers!$B33:$BC33)</f>
        <v>9.9897999999999989</v>
      </c>
      <c r="AN35" s="1">
        <f>AVERAGEIF(baseCase_percMembers!$B$63:$BC$63,assumptions!AN$2,baseCase_percMembers!$B33:$BC33)</f>
        <v>14.263600000000002</v>
      </c>
      <c r="AO35" s="1">
        <f>AVERAGEIF(baseCase_percMembers!$B$63:$BC$63,assumptions!AO$2,baseCase_percMembers!$B33:$BC33)</f>
        <v>14.268799999999999</v>
      </c>
      <c r="AP35" s="1">
        <f>AVERAGEIF(baseCase_percMembers!$B$63:$BC$63,assumptions!AP$2,baseCase_percMembers!$B33:$BC33)</f>
        <v>16.432600000000001</v>
      </c>
      <c r="AQ35" s="1">
        <f>AVERAGEIF(baseCase_percMembers!$B$63:$BC$63,assumptions!AQ$2,baseCase_percMembers!$B33:$BC33)</f>
        <v>17.113399999999999</v>
      </c>
      <c r="AR35" s="1">
        <f>AVERAGEIF(baseCase_percMembers!$B$63:$BC$63,assumptions!AR$2,baseCase_percMembers!$B33:$BC33)</f>
        <v>35.226399999999998</v>
      </c>
      <c r="AS35" s="1">
        <f>AVERAGEIF(baseCase_percMembers!$B$63:$BC$63,assumptions!AS$2,baseCase_percMembers!$B33:$BC33)</f>
        <v>29.730599999999999</v>
      </c>
      <c r="AT35" s="1">
        <f>AVERAGEIF(baseCase_percMembers!$B$63:$BC$63,assumptions!AT$2,baseCase_percMembers!$B33:$BC33)</f>
        <v>7.125</v>
      </c>
    </row>
    <row r="36" spans="7:46" x14ac:dyDescent="0.3">
      <c r="G36">
        <v>2041</v>
      </c>
      <c r="H36" s="1">
        <f>AVERAGEIF(baseCase_projects!$B$63:$BC$63,assumptions!H$2,baseCase_projects!$B34:$BC34)</f>
        <v>5736.2</v>
      </c>
      <c r="I36" s="1">
        <f>AVERAGEIF(baseCase_projects!$B$63:$BC$63,assumptions!I$2,baseCase_projects!$B34:$BC34)</f>
        <v>9679.2000000000007</v>
      </c>
      <c r="J36" s="1">
        <f>AVERAGEIF(baseCase_projects!$B$63:$BC$63,assumptions!J$2,baseCase_projects!$B34:$BC34)</f>
        <v>13638.4</v>
      </c>
      <c r="K36" s="1">
        <f>AVERAGEIF(baseCase_projects!$B$63:$BC$63,assumptions!K$2,baseCase_projects!$B34:$BC34)</f>
        <v>13729.4</v>
      </c>
      <c r="L36" s="1">
        <f>AVERAGEIF(baseCase_projects!$B$63:$BC$63,assumptions!L$2,baseCase_projects!$B34:$BC34)</f>
        <v>15669.6</v>
      </c>
      <c r="M36" s="1">
        <f>AVERAGEIF(baseCase_projects!$B$63:$BC$63,assumptions!M$2,baseCase_projects!$B34:$BC34)</f>
        <v>16110.2</v>
      </c>
      <c r="N36" s="1">
        <f>AVERAGEIF(baseCase_projects!$B$63:$BC$63,assumptions!N$2,baseCase_projects!$B34:$BC34)</f>
        <v>32343.4</v>
      </c>
      <c r="O36" s="1">
        <f>AVERAGEIF(baseCase_projects!$B$63:$BC$63,assumptions!O$2,baseCase_projects!$B34:$BC34)</f>
        <v>27018</v>
      </c>
      <c r="P36" s="1">
        <f>AVERAGEIF(baseCase_projects!$B$63:$BC$63,assumptions!P$2,baseCase_projects!$B34:$BC34)</f>
        <v>6901.8</v>
      </c>
      <c r="R36" s="1">
        <f>AVERAGEIF(baseCase_ECs!$B$63:$BC$63,assumptions!R$2,baseCase_ECs!$B34:$BC34)</f>
        <v>833.2</v>
      </c>
      <c r="S36" s="1">
        <f>AVERAGEIF(baseCase_ECs!$B$63:$BC$63,assumptions!S$2,baseCase_ECs!$B34:$BC34)</f>
        <v>903.6</v>
      </c>
      <c r="T36" s="1">
        <f>AVERAGEIF(baseCase_ECs!$B$63:$BC$63,assumptions!T$2,baseCase_ECs!$B34:$BC34)</f>
        <v>907.6</v>
      </c>
      <c r="U36" s="1">
        <f>AVERAGEIF(baseCase_ECs!$B$63:$BC$63,assumptions!U$2,baseCase_ECs!$B34:$BC34)</f>
        <v>895.8</v>
      </c>
      <c r="V36" s="1">
        <f>AVERAGEIF(baseCase_ECs!$B$63:$BC$63,assumptions!V$2,baseCase_ECs!$B34:$BC34)</f>
        <v>907.2</v>
      </c>
      <c r="W36" s="1">
        <f>AVERAGEIF(baseCase_ECs!$B$63:$BC$63,assumptions!W$2,baseCase_ECs!$B34:$BC34)</f>
        <v>910.6</v>
      </c>
      <c r="X36" s="1">
        <f>AVERAGEIF(baseCase_ECs!$B$63:$BC$63,assumptions!X$2,baseCase_ECs!$B34:$BC34)</f>
        <v>919.6</v>
      </c>
      <c r="Y36" s="1">
        <f>AVERAGEIF(baseCase_ECs!$B$63:$BC$63,assumptions!Y$2,baseCase_ECs!$B34:$BC34)</f>
        <v>918.2</v>
      </c>
      <c r="Z36" s="1">
        <f>AVERAGEIF(baseCase_ECs!$B$63:$BC$63,assumptions!Z$2,baseCase_ECs!$B34:$BC34)</f>
        <v>835.2</v>
      </c>
      <c r="AB36" s="1">
        <f>AVERAGEIF(baseCase_installedCap!$B$63:$BC$63,assumptions!AB$2,baseCase_installedCap!$B34:$BC34)</f>
        <v>2564081.4</v>
      </c>
      <c r="AC36" s="1">
        <f>AVERAGEIF(baseCase_installedCap!$B$63:$BC$63,assumptions!AC$2,baseCase_installedCap!$B34:$BC34)</f>
        <v>4326602.4000000004</v>
      </c>
      <c r="AD36" s="1">
        <f>AVERAGEIF(baseCase_installedCap!$B$63:$BC$63,assumptions!AD$2,baseCase_installedCap!$B34:$BC34)</f>
        <v>6096364.7999999998</v>
      </c>
      <c r="AE36" s="1">
        <f>AVERAGEIF(baseCase_installedCap!$B$63:$BC$63,assumptions!AE$2,baseCase_installedCap!$B34:$BC34)</f>
        <v>6137041.7999999998</v>
      </c>
      <c r="AF36" s="1">
        <f>AVERAGEIF(baseCase_installedCap!$B$63:$BC$63,assumptions!AF$2,baseCase_installedCap!$B34:$BC34)</f>
        <v>7004311.2000000002</v>
      </c>
      <c r="AG36" s="1">
        <f>AVERAGEIF(baseCase_installedCap!$B$63:$BC$63,assumptions!AG$2,baseCase_installedCap!$B34:$BC34)</f>
        <v>7201259.4000000004</v>
      </c>
      <c r="AH36" s="1">
        <f>AVERAGEIF(baseCase_installedCap!$B$63:$BC$63,assumptions!AH$2,baseCase_installedCap!$B34:$BC34)</f>
        <v>14457499.800000001</v>
      </c>
      <c r="AI36" s="1">
        <f>AVERAGEIF(baseCase_installedCap!$B$63:$BC$63,assumptions!AI$2,baseCase_installedCap!$B34:$BC34)</f>
        <v>34902654</v>
      </c>
      <c r="AJ36" s="1">
        <f>AVERAGEIF(baseCase_installedCap!$B$63:$BC$63,assumptions!AJ$2,baseCase_installedCap!$B34:$BC34)</f>
        <v>3085104.6</v>
      </c>
      <c r="AL36" s="1">
        <f>AVERAGEIF(baseCase_percMembers!$B$63:$BC$63,assumptions!AL$2,baseCase_percMembers!$B34:$BC34)</f>
        <v>6.4565999999999999</v>
      </c>
      <c r="AM36" s="1">
        <f>AVERAGEIF(baseCase_percMembers!$B$63:$BC$63,assumptions!AM$2,baseCase_percMembers!$B34:$BC34)</f>
        <v>10.8864</v>
      </c>
      <c r="AN36" s="1">
        <f>AVERAGEIF(baseCase_percMembers!$B$63:$BC$63,assumptions!AN$2,baseCase_percMembers!$B34:$BC34)</f>
        <v>15.338800000000001</v>
      </c>
      <c r="AO36" s="1">
        <f>AVERAGEIF(baseCase_percMembers!$B$63:$BC$63,assumptions!AO$2,baseCase_percMembers!$B34:$BC34)</f>
        <v>15.443999999999999</v>
      </c>
      <c r="AP36" s="1">
        <f>AVERAGEIF(baseCase_percMembers!$B$63:$BC$63,assumptions!AP$2,baseCase_percMembers!$B34:$BC34)</f>
        <v>17.6236</v>
      </c>
      <c r="AQ36" s="1">
        <f>AVERAGEIF(baseCase_percMembers!$B$63:$BC$63,assumptions!AQ$2,baseCase_percMembers!$B34:$BC34)</f>
        <v>18.118599999999997</v>
      </c>
      <c r="AR36" s="1">
        <f>AVERAGEIF(baseCase_percMembers!$B$63:$BC$63,assumptions!AR$2,baseCase_percMembers!$B34:$BC34)</f>
        <v>36.374799999999993</v>
      </c>
      <c r="AS36" s="1">
        <f>AVERAGEIF(baseCase_percMembers!$B$63:$BC$63,assumptions!AS$2,baseCase_percMembers!$B34:$BC34)</f>
        <v>30.3858</v>
      </c>
      <c r="AT36" s="1">
        <f>AVERAGEIF(baseCase_percMembers!$B$63:$BC$63,assumptions!AT$2,baseCase_percMembers!$B34:$BC34)</f>
        <v>7.7673999999999994</v>
      </c>
    </row>
    <row r="37" spans="7:46" x14ac:dyDescent="0.3">
      <c r="G37">
        <v>2042</v>
      </c>
      <c r="H37" s="1">
        <f>AVERAGEIF(baseCase_projects!$B$63:$BC$63,assumptions!H$2,baseCase_projects!$B35:$BC35)</f>
        <v>6163.6</v>
      </c>
      <c r="I37" s="1">
        <f>AVERAGEIF(baseCase_projects!$B$63:$BC$63,assumptions!I$2,baseCase_projects!$B35:$BC35)</f>
        <v>10392.799999999999</v>
      </c>
      <c r="J37" s="1">
        <f>AVERAGEIF(baseCase_projects!$B$63:$BC$63,assumptions!J$2,baseCase_projects!$B35:$BC35)</f>
        <v>14545</v>
      </c>
      <c r="K37" s="1">
        <f>AVERAGEIF(baseCase_projects!$B$63:$BC$63,assumptions!K$2,baseCase_projects!$B35:$BC35)</f>
        <v>14813.2</v>
      </c>
      <c r="L37" s="1">
        <f>AVERAGEIF(baseCase_projects!$B$63:$BC$63,assumptions!L$2,baseCase_projects!$B35:$BC35)</f>
        <v>16699.8</v>
      </c>
      <c r="M37" s="1">
        <f>AVERAGEIF(baseCase_projects!$B$63:$BC$63,assumptions!M$2,baseCase_projects!$B35:$BC35)</f>
        <v>16967.2</v>
      </c>
      <c r="N37" s="1">
        <f>AVERAGEIF(baseCase_projects!$B$63:$BC$63,assumptions!N$2,baseCase_projects!$B35:$BC35)</f>
        <v>33420</v>
      </c>
      <c r="O37" s="1">
        <f>AVERAGEIF(baseCase_projects!$B$63:$BC$63,assumptions!O$2,baseCase_projects!$B35:$BC35)</f>
        <v>27539</v>
      </c>
      <c r="P37" s="1">
        <f>AVERAGEIF(baseCase_projects!$B$63:$BC$63,assumptions!P$2,baseCase_projects!$B35:$BC35)</f>
        <v>7510.8</v>
      </c>
      <c r="R37" s="1">
        <f>AVERAGEIF(baseCase_ECs!$B$63:$BC$63,assumptions!R$2,baseCase_ECs!$B35:$BC35)</f>
        <v>840</v>
      </c>
      <c r="S37" s="1">
        <f>AVERAGEIF(baseCase_ECs!$B$63:$BC$63,assumptions!S$2,baseCase_ECs!$B35:$BC35)</f>
        <v>905.2</v>
      </c>
      <c r="T37" s="1">
        <f>AVERAGEIF(baseCase_ECs!$B$63:$BC$63,assumptions!T$2,baseCase_ECs!$B35:$BC35)</f>
        <v>908.2</v>
      </c>
      <c r="U37" s="1">
        <f>AVERAGEIF(baseCase_ECs!$B$63:$BC$63,assumptions!U$2,baseCase_ECs!$B35:$BC35)</f>
        <v>898.2</v>
      </c>
      <c r="V37" s="1">
        <f>AVERAGEIF(baseCase_ECs!$B$63:$BC$63,assumptions!V$2,baseCase_ECs!$B35:$BC35)</f>
        <v>909.8</v>
      </c>
      <c r="W37" s="1">
        <f>AVERAGEIF(baseCase_ECs!$B$63:$BC$63,assumptions!W$2,baseCase_ECs!$B35:$BC35)</f>
        <v>912</v>
      </c>
      <c r="X37" s="1">
        <f>AVERAGEIF(baseCase_ECs!$B$63:$BC$63,assumptions!X$2,baseCase_ECs!$B35:$BC35)</f>
        <v>919.8</v>
      </c>
      <c r="Y37" s="1">
        <f>AVERAGEIF(baseCase_ECs!$B$63:$BC$63,assumptions!Y$2,baseCase_ECs!$B35:$BC35)</f>
        <v>919</v>
      </c>
      <c r="Z37" s="1">
        <f>AVERAGEIF(baseCase_ECs!$B$63:$BC$63,assumptions!Z$2,baseCase_ECs!$B35:$BC35)</f>
        <v>841.4</v>
      </c>
      <c r="AB37" s="1">
        <f>AVERAGEIF(baseCase_installedCap!$B$63:$BC$63,assumptions!AB$2,baseCase_installedCap!$B35:$BC35)</f>
        <v>2755129.2</v>
      </c>
      <c r="AC37" s="1">
        <f>AVERAGEIF(baseCase_installedCap!$B$63:$BC$63,assumptions!AC$2,baseCase_installedCap!$B35:$BC35)</f>
        <v>4645581.5999999996</v>
      </c>
      <c r="AD37" s="1">
        <f>AVERAGEIF(baseCase_installedCap!$B$63:$BC$63,assumptions!AD$2,baseCase_installedCap!$B35:$BC35)</f>
        <v>6501615</v>
      </c>
      <c r="AE37" s="1">
        <f>AVERAGEIF(baseCase_installedCap!$B$63:$BC$63,assumptions!AE$2,baseCase_installedCap!$B35:$BC35)</f>
        <v>6621500.4000000004</v>
      </c>
      <c r="AF37" s="1">
        <f>AVERAGEIF(baseCase_installedCap!$B$63:$BC$63,assumptions!AF$2,baseCase_installedCap!$B35:$BC35)</f>
        <v>7464810.5999999996</v>
      </c>
      <c r="AG37" s="1">
        <f>AVERAGEIF(baseCase_installedCap!$B$63:$BC$63,assumptions!AG$2,baseCase_installedCap!$B35:$BC35)</f>
        <v>7584338.4000000004</v>
      </c>
      <c r="AH37" s="1">
        <f>AVERAGEIF(baseCase_installedCap!$B$63:$BC$63,assumptions!AH$2,baseCase_installedCap!$B35:$BC35)</f>
        <v>14938740</v>
      </c>
      <c r="AI37" s="1">
        <f>AVERAGEIF(baseCase_installedCap!$B$63:$BC$63,assumptions!AI$2,baseCase_installedCap!$B35:$BC35)</f>
        <v>35601315</v>
      </c>
      <c r="AJ37" s="1">
        <f>AVERAGEIF(baseCase_installedCap!$B$63:$BC$63,assumptions!AJ$2,baseCase_installedCap!$B35:$BC35)</f>
        <v>3357327.6</v>
      </c>
      <c r="AL37" s="1">
        <f>AVERAGEIF(baseCase_percMembers!$B$63:$BC$63,assumptions!AL$2,baseCase_percMembers!$B35:$BC35)</f>
        <v>6.9371999999999998</v>
      </c>
      <c r="AM37" s="1">
        <f>AVERAGEIF(baseCase_percMembers!$B$63:$BC$63,assumptions!AM$2,baseCase_percMembers!$B35:$BC35)</f>
        <v>11.688800000000001</v>
      </c>
      <c r="AN37" s="1">
        <f>AVERAGEIF(baseCase_percMembers!$B$63:$BC$63,assumptions!AN$2,baseCase_percMembers!$B35:$BC35)</f>
        <v>16.358399999999996</v>
      </c>
      <c r="AO37" s="1">
        <f>AVERAGEIF(baseCase_percMembers!$B$63:$BC$63,assumptions!AO$2,baseCase_percMembers!$B35:$BC35)</f>
        <v>16.662399999999998</v>
      </c>
      <c r="AP37" s="1">
        <f>AVERAGEIF(baseCase_percMembers!$B$63:$BC$63,assumptions!AP$2,baseCase_percMembers!$B35:$BC35)</f>
        <v>18.782</v>
      </c>
      <c r="AQ37" s="1">
        <f>AVERAGEIF(baseCase_percMembers!$B$63:$BC$63,assumptions!AQ$2,baseCase_percMembers!$B35:$BC35)</f>
        <v>19.0824</v>
      </c>
      <c r="AR37" s="1">
        <f>AVERAGEIF(baseCase_percMembers!$B$63:$BC$63,assumptions!AR$2,baseCase_percMembers!$B35:$BC35)</f>
        <v>37.585799999999999</v>
      </c>
      <c r="AS37" s="1">
        <f>AVERAGEIF(baseCase_percMembers!$B$63:$BC$63,assumptions!AS$2,baseCase_percMembers!$B35:$BC35)</f>
        <v>30.971999999999998</v>
      </c>
      <c r="AT37" s="1">
        <f>AVERAGEIF(baseCase_percMembers!$B$63:$BC$63,assumptions!AT$2,baseCase_percMembers!$B35:$BC35)</f>
        <v>8.452399999999999</v>
      </c>
    </row>
    <row r="38" spans="7:46" x14ac:dyDescent="0.3">
      <c r="G38">
        <v>2043</v>
      </c>
      <c r="H38" s="1">
        <f>AVERAGEIF(baseCase_projects!$B$63:$BC$63,assumptions!H$2,baseCase_projects!$B36:$BC36)</f>
        <v>6559.2</v>
      </c>
      <c r="I38" s="1">
        <f>AVERAGEIF(baseCase_projects!$B$63:$BC$63,assumptions!I$2,baseCase_projects!$B36:$BC36)</f>
        <v>10882.8</v>
      </c>
      <c r="J38" s="1">
        <f>AVERAGEIF(baseCase_projects!$B$63:$BC$63,assumptions!J$2,baseCase_projects!$B36:$BC36)</f>
        <v>15208</v>
      </c>
      <c r="K38" s="1">
        <f>AVERAGEIF(baseCase_projects!$B$63:$BC$63,assumptions!K$2,baseCase_projects!$B36:$BC36)</f>
        <v>15807.4</v>
      </c>
      <c r="L38" s="1">
        <f>AVERAGEIF(baseCase_projects!$B$63:$BC$63,assumptions!L$2,baseCase_projects!$B36:$BC36)</f>
        <v>17544</v>
      </c>
      <c r="M38" s="1">
        <f>AVERAGEIF(baseCase_projects!$B$63:$BC$63,assumptions!M$2,baseCase_projects!$B36:$BC36)</f>
        <v>17678.2</v>
      </c>
      <c r="N38" s="1">
        <f>AVERAGEIF(baseCase_projects!$B$63:$BC$63,assumptions!N$2,baseCase_projects!$B36:$BC36)</f>
        <v>34561</v>
      </c>
      <c r="O38" s="1">
        <f>AVERAGEIF(baseCase_projects!$B$63:$BC$63,assumptions!O$2,baseCase_projects!$B36:$BC36)</f>
        <v>28104.6</v>
      </c>
      <c r="P38" s="1">
        <f>AVERAGEIF(baseCase_projects!$B$63:$BC$63,assumptions!P$2,baseCase_projects!$B36:$BC36)</f>
        <v>8154.4</v>
      </c>
      <c r="R38" s="1">
        <f>AVERAGEIF(baseCase_ECs!$B$63:$BC$63,assumptions!R$2,baseCase_ECs!$B36:$BC36)</f>
        <v>845.8</v>
      </c>
      <c r="S38" s="1">
        <f>AVERAGEIF(baseCase_ECs!$B$63:$BC$63,assumptions!S$2,baseCase_ECs!$B36:$BC36)</f>
        <v>906.4</v>
      </c>
      <c r="T38" s="1">
        <f>AVERAGEIF(baseCase_ECs!$B$63:$BC$63,assumptions!T$2,baseCase_ECs!$B36:$BC36)</f>
        <v>909.2</v>
      </c>
      <c r="U38" s="1">
        <f>AVERAGEIF(baseCase_ECs!$B$63:$BC$63,assumptions!U$2,baseCase_ECs!$B36:$BC36)</f>
        <v>900.2</v>
      </c>
      <c r="V38" s="1">
        <f>AVERAGEIF(baseCase_ECs!$B$63:$BC$63,assumptions!V$2,baseCase_ECs!$B36:$BC36)</f>
        <v>910.2</v>
      </c>
      <c r="W38" s="1">
        <f>AVERAGEIF(baseCase_ECs!$B$63:$BC$63,assumptions!W$2,baseCase_ECs!$B36:$BC36)</f>
        <v>913</v>
      </c>
      <c r="X38" s="1">
        <f>AVERAGEIF(baseCase_ECs!$B$63:$BC$63,assumptions!X$2,baseCase_ECs!$B36:$BC36)</f>
        <v>920</v>
      </c>
      <c r="Y38" s="1">
        <f>AVERAGEIF(baseCase_ECs!$B$63:$BC$63,assumptions!Y$2,baseCase_ECs!$B36:$BC36)</f>
        <v>919.2</v>
      </c>
      <c r="Z38" s="1">
        <f>AVERAGEIF(baseCase_ECs!$B$63:$BC$63,assumptions!Z$2,baseCase_ECs!$B36:$BC36)</f>
        <v>849.6</v>
      </c>
      <c r="AB38" s="1">
        <f>AVERAGEIF(baseCase_installedCap!$B$63:$BC$63,assumptions!AB$2,baseCase_installedCap!$B36:$BC36)</f>
        <v>2931962.4</v>
      </c>
      <c r="AC38" s="1">
        <f>AVERAGEIF(baseCase_installedCap!$B$63:$BC$63,assumptions!AC$2,baseCase_installedCap!$B36:$BC36)</f>
        <v>4864611.5999999996</v>
      </c>
      <c r="AD38" s="1">
        <f>AVERAGEIF(baseCase_installedCap!$B$63:$BC$63,assumptions!AD$2,baseCase_installedCap!$B36:$BC36)</f>
        <v>6797976</v>
      </c>
      <c r="AE38" s="1">
        <f>AVERAGEIF(baseCase_installedCap!$B$63:$BC$63,assumptions!AE$2,baseCase_installedCap!$B36:$BC36)</f>
        <v>7065907.7999999998</v>
      </c>
      <c r="AF38" s="1">
        <f>AVERAGEIF(baseCase_installedCap!$B$63:$BC$63,assumptions!AF$2,baseCase_installedCap!$B36:$BC36)</f>
        <v>7842168</v>
      </c>
      <c r="AG38" s="1">
        <f>AVERAGEIF(baseCase_installedCap!$B$63:$BC$63,assumptions!AG$2,baseCase_installedCap!$B36:$BC36)</f>
        <v>7902155.4000000004</v>
      </c>
      <c r="AH38" s="1">
        <f>AVERAGEIF(baseCase_installedCap!$B$63:$BC$63,assumptions!AH$2,baseCase_installedCap!$B36:$BC36)</f>
        <v>15448767</v>
      </c>
      <c r="AI38" s="1">
        <f>AVERAGEIF(baseCase_installedCap!$B$63:$BC$63,assumptions!AI$2,baseCase_installedCap!$B36:$BC36)</f>
        <v>36359784.600000001</v>
      </c>
      <c r="AJ38" s="1">
        <f>AVERAGEIF(baseCase_installedCap!$B$63:$BC$63,assumptions!AJ$2,baseCase_installedCap!$B36:$BC36)</f>
        <v>3645016.8</v>
      </c>
      <c r="AL38" s="1">
        <f>AVERAGEIF(baseCase_percMembers!$B$63:$BC$63,assumptions!AL$2,baseCase_percMembers!$B36:$BC36)</f>
        <v>7.3822000000000001</v>
      </c>
      <c r="AM38" s="1">
        <f>AVERAGEIF(baseCase_percMembers!$B$63:$BC$63,assumptions!AM$2,baseCase_percMembers!$B36:$BC36)</f>
        <v>12.24</v>
      </c>
      <c r="AN38" s="1">
        <f>AVERAGEIF(baseCase_percMembers!$B$63:$BC$63,assumptions!AN$2,baseCase_percMembers!$B36:$BC36)</f>
        <v>17.104000000000003</v>
      </c>
      <c r="AO38" s="1">
        <f>AVERAGEIF(baseCase_percMembers!$B$63:$BC$63,assumptions!AO$2,baseCase_percMembers!$B36:$BC36)</f>
        <v>17.780399999999997</v>
      </c>
      <c r="AP38" s="1">
        <f>AVERAGEIF(baseCase_percMembers!$B$63:$BC$63,assumptions!AP$2,baseCase_percMembers!$B36:$BC36)</f>
        <v>19.731200000000001</v>
      </c>
      <c r="AQ38" s="1">
        <f>AVERAGEIF(baseCase_percMembers!$B$63:$BC$63,assumptions!AQ$2,baseCase_percMembers!$B36:$BC36)</f>
        <v>19.881799999999998</v>
      </c>
      <c r="AR38" s="1">
        <f>AVERAGEIF(baseCase_percMembers!$B$63:$BC$63,assumptions!AR$2,baseCase_percMembers!$B36:$BC36)</f>
        <v>38.8688</v>
      </c>
      <c r="AS38" s="1">
        <f>AVERAGEIF(baseCase_percMembers!$B$63:$BC$63,assumptions!AS$2,baseCase_percMembers!$B36:$BC36)</f>
        <v>31.607800000000005</v>
      </c>
      <c r="AT38" s="1">
        <f>AVERAGEIF(baseCase_percMembers!$B$63:$BC$63,assumptions!AT$2,baseCase_percMembers!$B36:$BC36)</f>
        <v>9.1761999999999979</v>
      </c>
    </row>
    <row r="39" spans="7:46" x14ac:dyDescent="0.3">
      <c r="G39">
        <v>2044</v>
      </c>
      <c r="H39" s="1">
        <f>AVERAGEIF(baseCase_projects!$B$63:$BC$63,assumptions!H$2,baseCase_projects!$B37:$BC37)</f>
        <v>6961.8</v>
      </c>
      <c r="I39" s="1">
        <f>AVERAGEIF(baseCase_projects!$B$63:$BC$63,assumptions!I$2,baseCase_projects!$B37:$BC37)</f>
        <v>11524.8</v>
      </c>
      <c r="J39" s="1">
        <f>AVERAGEIF(baseCase_projects!$B$63:$BC$63,assumptions!J$2,baseCase_projects!$B37:$BC37)</f>
        <v>15934.4</v>
      </c>
      <c r="K39" s="1">
        <f>AVERAGEIF(baseCase_projects!$B$63:$BC$63,assumptions!K$2,baseCase_projects!$B37:$BC37)</f>
        <v>16633.599999999999</v>
      </c>
      <c r="L39" s="1">
        <f>AVERAGEIF(baseCase_projects!$B$63:$BC$63,assumptions!L$2,baseCase_projects!$B37:$BC37)</f>
        <v>18216.2</v>
      </c>
      <c r="M39" s="1">
        <f>AVERAGEIF(baseCase_projects!$B$63:$BC$63,assumptions!M$2,baseCase_projects!$B37:$BC37)</f>
        <v>18342.400000000001</v>
      </c>
      <c r="N39" s="1">
        <f>AVERAGEIF(baseCase_projects!$B$63:$BC$63,assumptions!N$2,baseCase_projects!$B37:$BC37)</f>
        <v>35028.6</v>
      </c>
      <c r="O39" s="1">
        <f>AVERAGEIF(baseCase_projects!$B$63:$BC$63,assumptions!O$2,baseCase_projects!$B37:$BC37)</f>
        <v>28348.6</v>
      </c>
      <c r="P39" s="1">
        <f>AVERAGEIF(baseCase_projects!$B$63:$BC$63,assumptions!P$2,baseCase_projects!$B37:$BC37)</f>
        <v>8899.6</v>
      </c>
      <c r="R39" s="1">
        <f>AVERAGEIF(baseCase_ECs!$B$63:$BC$63,assumptions!R$2,baseCase_ECs!$B37:$BC37)</f>
        <v>852.2</v>
      </c>
      <c r="S39" s="1">
        <f>AVERAGEIF(baseCase_ECs!$B$63:$BC$63,assumptions!S$2,baseCase_ECs!$B37:$BC37)</f>
        <v>907.2</v>
      </c>
      <c r="T39" s="1">
        <f>AVERAGEIF(baseCase_ECs!$B$63:$BC$63,assumptions!T$2,baseCase_ECs!$B37:$BC37)</f>
        <v>911.4</v>
      </c>
      <c r="U39" s="1">
        <f>AVERAGEIF(baseCase_ECs!$B$63:$BC$63,assumptions!U$2,baseCase_ECs!$B37:$BC37)</f>
        <v>902</v>
      </c>
      <c r="V39" s="1">
        <f>AVERAGEIF(baseCase_ECs!$B$63:$BC$63,assumptions!V$2,baseCase_ECs!$B37:$BC37)</f>
        <v>911.2</v>
      </c>
      <c r="W39" s="1">
        <f>AVERAGEIF(baseCase_ECs!$B$63:$BC$63,assumptions!W$2,baseCase_ECs!$B37:$BC37)</f>
        <v>914.2</v>
      </c>
      <c r="X39" s="1">
        <f>AVERAGEIF(baseCase_ECs!$B$63:$BC$63,assumptions!X$2,baseCase_ECs!$B37:$BC37)</f>
        <v>920</v>
      </c>
      <c r="Y39" s="1">
        <f>AVERAGEIF(baseCase_ECs!$B$63:$BC$63,assumptions!Y$2,baseCase_ECs!$B37:$BC37)</f>
        <v>919.4</v>
      </c>
      <c r="Z39" s="1">
        <f>AVERAGEIF(baseCase_ECs!$B$63:$BC$63,assumptions!Z$2,baseCase_ECs!$B37:$BC37)</f>
        <v>856.8</v>
      </c>
      <c r="AB39" s="1">
        <f>AVERAGEIF(baseCase_installedCap!$B$63:$BC$63,assumptions!AB$2,baseCase_installedCap!$B37:$BC37)</f>
        <v>3111924.6</v>
      </c>
      <c r="AC39" s="1">
        <f>AVERAGEIF(baseCase_installedCap!$B$63:$BC$63,assumptions!AC$2,baseCase_installedCap!$B37:$BC37)</f>
        <v>5151585.5999999996</v>
      </c>
      <c r="AD39" s="1">
        <f>AVERAGEIF(baseCase_installedCap!$B$63:$BC$63,assumptions!AD$2,baseCase_installedCap!$B37:$BC37)</f>
        <v>7122676.7999999998</v>
      </c>
      <c r="AE39" s="1">
        <f>AVERAGEIF(baseCase_installedCap!$B$63:$BC$63,assumptions!AE$2,baseCase_installedCap!$B37:$BC37)</f>
        <v>7435219.2000000002</v>
      </c>
      <c r="AF39" s="1">
        <f>AVERAGEIF(baseCase_installedCap!$B$63:$BC$63,assumptions!AF$2,baseCase_installedCap!$B37:$BC37)</f>
        <v>8142641.4000000004</v>
      </c>
      <c r="AG39" s="1">
        <f>AVERAGEIF(baseCase_installedCap!$B$63:$BC$63,assumptions!AG$2,baseCase_installedCap!$B37:$BC37)</f>
        <v>8199052.7999999998</v>
      </c>
      <c r="AH39" s="1">
        <f>AVERAGEIF(baseCase_installedCap!$B$63:$BC$63,assumptions!AH$2,baseCase_installedCap!$B37:$BC37)</f>
        <v>15657784.199999999</v>
      </c>
      <c r="AI39" s="1">
        <f>AVERAGEIF(baseCase_installedCap!$B$63:$BC$63,assumptions!AI$2,baseCase_installedCap!$B37:$BC37)</f>
        <v>36686988.600000001</v>
      </c>
      <c r="AJ39" s="1">
        <f>AVERAGEIF(baseCase_installedCap!$B$63:$BC$63,assumptions!AJ$2,baseCase_installedCap!$B37:$BC37)</f>
        <v>3978121.2</v>
      </c>
      <c r="AL39" s="1">
        <f>AVERAGEIF(baseCase_percMembers!$B$63:$BC$63,assumptions!AL$2,baseCase_percMembers!$B37:$BC37)</f>
        <v>7.8352000000000004</v>
      </c>
      <c r="AM39" s="1">
        <f>AVERAGEIF(baseCase_percMembers!$B$63:$BC$63,assumptions!AM$2,baseCase_percMembers!$B37:$BC37)</f>
        <v>12.9618</v>
      </c>
      <c r="AN39" s="1">
        <f>AVERAGEIF(baseCase_percMembers!$B$63:$BC$63,assumptions!AN$2,baseCase_percMembers!$B37:$BC37)</f>
        <v>17.9208</v>
      </c>
      <c r="AO39" s="1">
        <f>AVERAGEIF(baseCase_percMembers!$B$63:$BC$63,assumptions!AO$2,baseCase_percMembers!$B37:$BC37)</f>
        <v>18.709000000000003</v>
      </c>
      <c r="AP39" s="1">
        <f>AVERAGEIF(baseCase_percMembers!$B$63:$BC$63,assumptions!AP$2,baseCase_percMembers!$B37:$BC37)</f>
        <v>20.487199999999998</v>
      </c>
      <c r="AQ39" s="1">
        <f>AVERAGEIF(baseCase_percMembers!$B$63:$BC$63,assumptions!AQ$2,baseCase_percMembers!$B37:$BC37)</f>
        <v>20.628800000000002</v>
      </c>
      <c r="AR39" s="1">
        <f>AVERAGEIF(baseCase_percMembers!$B$63:$BC$63,assumptions!AR$2,baseCase_percMembers!$B37:$BC37)</f>
        <v>39.394800000000004</v>
      </c>
      <c r="AS39" s="1">
        <f>AVERAGEIF(baseCase_percMembers!$B$63:$BC$63,assumptions!AS$2,baseCase_percMembers!$B37:$BC37)</f>
        <v>31.882400000000001</v>
      </c>
      <c r="AT39" s="1">
        <f>AVERAGEIF(baseCase_percMembers!$B$63:$BC$63,assumptions!AT$2,baseCase_percMembers!$B37:$BC37)</f>
        <v>10.014599999999998</v>
      </c>
    </row>
    <row r="40" spans="7:46" x14ac:dyDescent="0.3">
      <c r="G40">
        <v>2045</v>
      </c>
      <c r="H40" s="1">
        <f>AVERAGEIF(baseCase_projects!$B$63:$BC$63,assumptions!H$2,baseCase_projects!$B38:$BC38)</f>
        <v>7312.6</v>
      </c>
      <c r="I40" s="1">
        <f>AVERAGEIF(baseCase_projects!$B$63:$BC$63,assumptions!I$2,baseCase_projects!$B38:$BC38)</f>
        <v>12348.8</v>
      </c>
      <c r="J40" s="1">
        <f>AVERAGEIF(baseCase_projects!$B$63:$BC$63,assumptions!J$2,baseCase_projects!$B38:$BC38)</f>
        <v>16835.8</v>
      </c>
      <c r="K40" s="1">
        <f>AVERAGEIF(baseCase_projects!$B$63:$BC$63,assumptions!K$2,baseCase_projects!$B38:$BC38)</f>
        <v>17392.400000000001</v>
      </c>
      <c r="L40" s="1">
        <f>AVERAGEIF(baseCase_projects!$B$63:$BC$63,assumptions!L$2,baseCase_projects!$B38:$BC38)</f>
        <v>18861.400000000001</v>
      </c>
      <c r="M40" s="1">
        <f>AVERAGEIF(baseCase_projects!$B$63:$BC$63,assumptions!M$2,baseCase_projects!$B38:$BC38)</f>
        <v>19018.400000000001</v>
      </c>
      <c r="N40" s="1">
        <f>AVERAGEIF(baseCase_projects!$B$63:$BC$63,assumptions!N$2,baseCase_projects!$B38:$BC38)</f>
        <v>35654.400000000001</v>
      </c>
      <c r="O40" s="1">
        <f>AVERAGEIF(baseCase_projects!$B$63:$BC$63,assumptions!O$2,baseCase_projects!$B38:$BC38)</f>
        <v>28704.799999999999</v>
      </c>
      <c r="P40" s="1">
        <f>AVERAGEIF(baseCase_projects!$B$63:$BC$63,assumptions!P$2,baseCase_projects!$B38:$BC38)</f>
        <v>9709.6</v>
      </c>
      <c r="R40" s="1">
        <f>AVERAGEIF(baseCase_ECs!$B$63:$BC$63,assumptions!R$2,baseCase_ECs!$B38:$BC38)</f>
        <v>858.4</v>
      </c>
      <c r="S40" s="1">
        <f>AVERAGEIF(baseCase_ECs!$B$63:$BC$63,assumptions!S$2,baseCase_ECs!$B38:$BC38)</f>
        <v>908.2</v>
      </c>
      <c r="T40" s="1">
        <f>AVERAGEIF(baseCase_ECs!$B$63:$BC$63,assumptions!T$2,baseCase_ECs!$B38:$BC38)</f>
        <v>912.8</v>
      </c>
      <c r="U40" s="1">
        <f>AVERAGEIF(baseCase_ECs!$B$63:$BC$63,assumptions!U$2,baseCase_ECs!$B38:$BC38)</f>
        <v>903</v>
      </c>
      <c r="V40" s="1">
        <f>AVERAGEIF(baseCase_ECs!$B$63:$BC$63,assumptions!V$2,baseCase_ECs!$B38:$BC38)</f>
        <v>912</v>
      </c>
      <c r="W40" s="1">
        <f>AVERAGEIF(baseCase_ECs!$B$63:$BC$63,assumptions!W$2,baseCase_ECs!$B38:$BC38)</f>
        <v>914.6</v>
      </c>
      <c r="X40" s="1">
        <f>AVERAGEIF(baseCase_ECs!$B$63:$BC$63,assumptions!X$2,baseCase_ECs!$B38:$BC38)</f>
        <v>920</v>
      </c>
      <c r="Y40" s="1">
        <f>AVERAGEIF(baseCase_ECs!$B$63:$BC$63,assumptions!Y$2,baseCase_ECs!$B38:$BC38)</f>
        <v>919.8</v>
      </c>
      <c r="Z40" s="1">
        <f>AVERAGEIF(baseCase_ECs!$B$63:$BC$63,assumptions!Z$2,baseCase_ECs!$B38:$BC38)</f>
        <v>861.6</v>
      </c>
      <c r="AB40" s="1">
        <f>AVERAGEIF(baseCase_installedCap!$B$63:$BC$63,assumptions!AB$2,baseCase_installedCap!$B38:$BC38)</f>
        <v>3268732.2</v>
      </c>
      <c r="AC40" s="1">
        <f>AVERAGEIF(baseCase_installedCap!$B$63:$BC$63,assumptions!AC$2,baseCase_installedCap!$B38:$BC38)</f>
        <v>5519913.5999999996</v>
      </c>
      <c r="AD40" s="1">
        <f>AVERAGEIF(baseCase_installedCap!$B$63:$BC$63,assumptions!AD$2,baseCase_installedCap!$B38:$BC38)</f>
        <v>7525602.5999999996</v>
      </c>
      <c r="AE40" s="1">
        <f>AVERAGEIF(baseCase_installedCap!$B$63:$BC$63,assumptions!AE$2,baseCase_installedCap!$B38:$BC38)</f>
        <v>7774402.7999999998</v>
      </c>
      <c r="AF40" s="1">
        <f>AVERAGEIF(baseCase_installedCap!$B$63:$BC$63,assumptions!AF$2,baseCase_installedCap!$B38:$BC38)</f>
        <v>8431045.8000000007</v>
      </c>
      <c r="AG40" s="1">
        <f>AVERAGEIF(baseCase_installedCap!$B$63:$BC$63,assumptions!AG$2,baseCase_installedCap!$B38:$BC38)</f>
        <v>8501224.8000000007</v>
      </c>
      <c r="AH40" s="1">
        <f>AVERAGEIF(baseCase_installedCap!$B$63:$BC$63,assumptions!AH$2,baseCase_installedCap!$B38:$BC38)</f>
        <v>15937516.800000001</v>
      </c>
      <c r="AI40" s="1">
        <f>AVERAGEIF(baseCase_installedCap!$B$63:$BC$63,assumptions!AI$2,baseCase_installedCap!$B38:$BC38)</f>
        <v>37164652.799999997</v>
      </c>
      <c r="AJ40" s="1">
        <f>AVERAGEIF(baseCase_installedCap!$B$63:$BC$63,assumptions!AJ$2,baseCase_installedCap!$B38:$BC38)</f>
        <v>4340191.2</v>
      </c>
      <c r="AL40" s="1">
        <f>AVERAGEIF(baseCase_percMembers!$B$63:$BC$63,assumptions!AL$2,baseCase_percMembers!$B38:$BC38)</f>
        <v>8.2298000000000009</v>
      </c>
      <c r="AM40" s="1">
        <f>AVERAGEIF(baseCase_percMembers!$B$63:$BC$63,assumptions!AM$2,baseCase_percMembers!$B38:$BC38)</f>
        <v>13.888200000000001</v>
      </c>
      <c r="AN40" s="1">
        <f>AVERAGEIF(baseCase_percMembers!$B$63:$BC$63,assumptions!AN$2,baseCase_percMembers!$B38:$BC38)</f>
        <v>18.9344</v>
      </c>
      <c r="AO40" s="1">
        <f>AVERAGEIF(baseCase_percMembers!$B$63:$BC$63,assumptions!AO$2,baseCase_percMembers!$B38:$BC38)</f>
        <v>19.562000000000001</v>
      </c>
      <c r="AP40" s="1">
        <f>AVERAGEIF(baseCase_percMembers!$B$63:$BC$63,assumptions!AP$2,baseCase_percMembers!$B38:$BC38)</f>
        <v>21.212600000000002</v>
      </c>
      <c r="AQ40" s="1">
        <f>AVERAGEIF(baseCase_percMembers!$B$63:$BC$63,assumptions!AQ$2,baseCase_percMembers!$B38:$BC38)</f>
        <v>21.388999999999999</v>
      </c>
      <c r="AR40" s="1">
        <f>AVERAGEIF(baseCase_percMembers!$B$63:$BC$63,assumptions!AR$2,baseCase_percMembers!$B38:$BC38)</f>
        <v>40.098599999999998</v>
      </c>
      <c r="AS40" s="1">
        <f>AVERAGEIF(baseCase_percMembers!$B$63:$BC$63,assumptions!AS$2,baseCase_percMembers!$B38:$BC38)</f>
        <v>32.282600000000002</v>
      </c>
      <c r="AT40" s="1">
        <f>AVERAGEIF(baseCase_percMembers!$B$63:$BC$63,assumptions!AT$2,baseCase_percMembers!$B38:$BC38)</f>
        <v>10.9254</v>
      </c>
    </row>
    <row r="41" spans="7:46" x14ac:dyDescent="0.3">
      <c r="G41">
        <v>2046</v>
      </c>
      <c r="H41" s="1">
        <f>AVERAGEIF(baseCase_projects!$B$63:$BC$63,assumptions!H$2,baseCase_projects!$B39:$BC39)</f>
        <v>7700.6</v>
      </c>
      <c r="I41" s="1">
        <f>AVERAGEIF(baseCase_projects!$B$63:$BC$63,assumptions!I$2,baseCase_projects!$B39:$BC39)</f>
        <v>13146.4</v>
      </c>
      <c r="J41" s="1">
        <f>AVERAGEIF(baseCase_projects!$B$63:$BC$63,assumptions!J$2,baseCase_projects!$B39:$BC39)</f>
        <v>17600</v>
      </c>
      <c r="K41" s="1">
        <f>AVERAGEIF(baseCase_projects!$B$63:$BC$63,assumptions!K$2,baseCase_projects!$B39:$BC39)</f>
        <v>18222</v>
      </c>
      <c r="L41" s="1">
        <f>AVERAGEIF(baseCase_projects!$B$63:$BC$63,assumptions!L$2,baseCase_projects!$B39:$BC39)</f>
        <v>19605.2</v>
      </c>
      <c r="M41" s="1">
        <f>AVERAGEIF(baseCase_projects!$B$63:$BC$63,assumptions!M$2,baseCase_projects!$B39:$BC39)</f>
        <v>19701.8</v>
      </c>
      <c r="N41" s="1">
        <f>AVERAGEIF(baseCase_projects!$B$63:$BC$63,assumptions!N$2,baseCase_projects!$B39:$BC39)</f>
        <v>36299.4</v>
      </c>
      <c r="O41" s="1">
        <f>AVERAGEIF(baseCase_projects!$B$63:$BC$63,assumptions!O$2,baseCase_projects!$B39:$BC39)</f>
        <v>28943.200000000001</v>
      </c>
      <c r="P41" s="1">
        <f>AVERAGEIF(baseCase_projects!$B$63:$BC$63,assumptions!P$2,baseCase_projects!$B39:$BC39)</f>
        <v>10618</v>
      </c>
      <c r="R41" s="1">
        <f>AVERAGEIF(baseCase_ECs!$B$63:$BC$63,assumptions!R$2,baseCase_ECs!$B39:$BC39)</f>
        <v>863.6</v>
      </c>
      <c r="S41" s="1">
        <f>AVERAGEIF(baseCase_ECs!$B$63:$BC$63,assumptions!S$2,baseCase_ECs!$B39:$BC39)</f>
        <v>908.6</v>
      </c>
      <c r="T41" s="1">
        <f>AVERAGEIF(baseCase_ECs!$B$63:$BC$63,assumptions!T$2,baseCase_ECs!$B39:$BC39)</f>
        <v>913</v>
      </c>
      <c r="U41" s="1">
        <f>AVERAGEIF(baseCase_ECs!$B$63:$BC$63,assumptions!U$2,baseCase_ECs!$B39:$BC39)</f>
        <v>906</v>
      </c>
      <c r="V41" s="1">
        <f>AVERAGEIF(baseCase_ECs!$B$63:$BC$63,assumptions!V$2,baseCase_ECs!$B39:$BC39)</f>
        <v>912.2</v>
      </c>
      <c r="W41" s="1">
        <f>AVERAGEIF(baseCase_ECs!$B$63:$BC$63,assumptions!W$2,baseCase_ECs!$B39:$BC39)</f>
        <v>914.6</v>
      </c>
      <c r="X41" s="1">
        <f>AVERAGEIF(baseCase_ECs!$B$63:$BC$63,assumptions!X$2,baseCase_ECs!$B39:$BC39)</f>
        <v>920</v>
      </c>
      <c r="Y41" s="1">
        <f>AVERAGEIF(baseCase_ECs!$B$63:$BC$63,assumptions!Y$2,baseCase_ECs!$B39:$BC39)</f>
        <v>920.2</v>
      </c>
      <c r="Z41" s="1">
        <f>AVERAGEIF(baseCase_ECs!$B$63:$BC$63,assumptions!Z$2,baseCase_ECs!$B39:$BC39)</f>
        <v>867.6</v>
      </c>
      <c r="AB41" s="1">
        <f>AVERAGEIF(baseCase_installedCap!$B$63:$BC$63,assumptions!AB$2,baseCase_installedCap!$B39:$BC39)</f>
        <v>3442168.2</v>
      </c>
      <c r="AC41" s="1">
        <f>AVERAGEIF(baseCase_installedCap!$B$63:$BC$63,assumptions!AC$2,baseCase_installedCap!$B39:$BC39)</f>
        <v>5876440.7999999998</v>
      </c>
      <c r="AD41" s="1">
        <f>AVERAGEIF(baseCase_installedCap!$B$63:$BC$63,assumptions!AD$2,baseCase_installedCap!$B39:$BC39)</f>
        <v>7867200</v>
      </c>
      <c r="AE41" s="1">
        <f>AVERAGEIF(baseCase_installedCap!$B$63:$BC$63,assumptions!AE$2,baseCase_installedCap!$B39:$BC39)</f>
        <v>8145234</v>
      </c>
      <c r="AF41" s="1">
        <f>AVERAGEIF(baseCase_installedCap!$B$63:$BC$63,assumptions!AF$2,baseCase_installedCap!$B39:$BC39)</f>
        <v>8763524.4000000004</v>
      </c>
      <c r="AG41" s="1">
        <f>AVERAGEIF(baseCase_installedCap!$B$63:$BC$63,assumptions!AG$2,baseCase_installedCap!$B39:$BC39)</f>
        <v>8806704.5999999996</v>
      </c>
      <c r="AH41" s="1">
        <f>AVERAGEIF(baseCase_installedCap!$B$63:$BC$63,assumptions!AH$2,baseCase_installedCap!$B39:$BC39)</f>
        <v>16225831.800000001</v>
      </c>
      <c r="AI41" s="1">
        <f>AVERAGEIF(baseCase_installedCap!$B$63:$BC$63,assumptions!AI$2,baseCase_installedCap!$B39:$BC39)</f>
        <v>37484347.200000003</v>
      </c>
      <c r="AJ41" s="1">
        <f>AVERAGEIF(baseCase_installedCap!$B$63:$BC$63,assumptions!AJ$2,baseCase_installedCap!$B39:$BC39)</f>
        <v>4746246</v>
      </c>
      <c r="AL41" s="1">
        <f>AVERAGEIF(baseCase_percMembers!$B$63:$BC$63,assumptions!AL$2,baseCase_percMembers!$B39:$BC39)</f>
        <v>8.6660000000000004</v>
      </c>
      <c r="AM41" s="1">
        <f>AVERAGEIF(baseCase_percMembers!$B$63:$BC$63,assumptions!AM$2,baseCase_percMembers!$B39:$BC39)</f>
        <v>14.7852</v>
      </c>
      <c r="AN41" s="1">
        <f>AVERAGEIF(baseCase_percMembers!$B$63:$BC$63,assumptions!AN$2,baseCase_percMembers!$B39:$BC39)</f>
        <v>19.794</v>
      </c>
      <c r="AO41" s="1">
        <f>AVERAGEIF(baseCase_percMembers!$B$63:$BC$63,assumptions!AO$2,baseCase_percMembers!$B39:$BC39)</f>
        <v>20.494999999999997</v>
      </c>
      <c r="AP41" s="1">
        <f>AVERAGEIF(baseCase_percMembers!$B$63:$BC$63,assumptions!AP$2,baseCase_percMembers!$B39:$BC39)</f>
        <v>22.049200000000003</v>
      </c>
      <c r="AQ41" s="1">
        <f>AVERAGEIF(baseCase_percMembers!$B$63:$BC$63,assumptions!AQ$2,baseCase_percMembers!$B39:$BC39)</f>
        <v>22.157600000000002</v>
      </c>
      <c r="AR41" s="1">
        <f>AVERAGEIF(baseCase_percMembers!$B$63:$BC$63,assumptions!AR$2,baseCase_percMembers!$B39:$BC39)</f>
        <v>40.823800000000006</v>
      </c>
      <c r="AS41" s="1">
        <f>AVERAGEIF(baseCase_percMembers!$B$63:$BC$63,assumptions!AS$2,baseCase_percMembers!$B39:$BC39)</f>
        <v>32.551000000000002</v>
      </c>
      <c r="AT41" s="1">
        <f>AVERAGEIF(baseCase_percMembers!$B$63:$BC$63,assumptions!AT$2,baseCase_percMembers!$B39:$BC39)</f>
        <v>11.946999999999999</v>
      </c>
    </row>
    <row r="42" spans="7:46" x14ac:dyDescent="0.3">
      <c r="G42">
        <v>2047</v>
      </c>
      <c r="H42" s="1">
        <f>AVERAGEIF(baseCase_projects!$B$63:$BC$63,assumptions!H$2,baseCase_projects!$B40:$BC40)</f>
        <v>8194.7999999999993</v>
      </c>
      <c r="I42" s="1">
        <f>AVERAGEIF(baseCase_projects!$B$63:$BC$63,assumptions!I$2,baseCase_projects!$B40:$BC40)</f>
        <v>13966</v>
      </c>
      <c r="J42" s="1">
        <f>AVERAGEIF(baseCase_projects!$B$63:$BC$63,assumptions!J$2,baseCase_projects!$B40:$BC40)</f>
        <v>18401.599999999999</v>
      </c>
      <c r="K42" s="1">
        <f>AVERAGEIF(baseCase_projects!$B$63:$BC$63,assumptions!K$2,baseCase_projects!$B40:$BC40)</f>
        <v>19160.8</v>
      </c>
      <c r="L42" s="1">
        <f>AVERAGEIF(baseCase_projects!$B$63:$BC$63,assumptions!L$2,baseCase_projects!$B40:$BC40)</f>
        <v>20370.400000000001</v>
      </c>
      <c r="M42" s="1">
        <f>AVERAGEIF(baseCase_projects!$B$63:$BC$63,assumptions!M$2,baseCase_projects!$B40:$BC40)</f>
        <v>20401</v>
      </c>
      <c r="N42" s="1">
        <f>AVERAGEIF(baseCase_projects!$B$63:$BC$63,assumptions!N$2,baseCase_projects!$B40:$BC40)</f>
        <v>36799.199999999997</v>
      </c>
      <c r="O42" s="1">
        <f>AVERAGEIF(baseCase_projects!$B$63:$BC$63,assumptions!O$2,baseCase_projects!$B40:$BC40)</f>
        <v>29122.2</v>
      </c>
      <c r="P42" s="1">
        <f>AVERAGEIF(baseCase_projects!$B$63:$BC$63,assumptions!P$2,baseCase_projects!$B40:$BC40)</f>
        <v>11653.8</v>
      </c>
      <c r="R42" s="1">
        <f>AVERAGEIF(baseCase_ECs!$B$63:$BC$63,assumptions!R$2,baseCase_ECs!$B40:$BC40)</f>
        <v>867.8</v>
      </c>
      <c r="S42" s="1">
        <f>AVERAGEIF(baseCase_ECs!$B$63:$BC$63,assumptions!S$2,baseCase_ECs!$B40:$BC40)</f>
        <v>909.6</v>
      </c>
      <c r="T42" s="1">
        <f>AVERAGEIF(baseCase_ECs!$B$63:$BC$63,assumptions!T$2,baseCase_ECs!$B40:$BC40)</f>
        <v>913.6</v>
      </c>
      <c r="U42" s="1">
        <f>AVERAGEIF(baseCase_ECs!$B$63:$BC$63,assumptions!U$2,baseCase_ECs!$B40:$BC40)</f>
        <v>907</v>
      </c>
      <c r="V42" s="1">
        <f>AVERAGEIF(baseCase_ECs!$B$63:$BC$63,assumptions!V$2,baseCase_ECs!$B40:$BC40)</f>
        <v>912.6</v>
      </c>
      <c r="W42" s="1">
        <f>AVERAGEIF(baseCase_ECs!$B$63:$BC$63,assumptions!W$2,baseCase_ECs!$B40:$BC40)</f>
        <v>914.8</v>
      </c>
      <c r="X42" s="1">
        <f>AVERAGEIF(baseCase_ECs!$B$63:$BC$63,assumptions!X$2,baseCase_ECs!$B40:$BC40)</f>
        <v>920.2</v>
      </c>
      <c r="Y42" s="1">
        <f>AVERAGEIF(baseCase_ECs!$B$63:$BC$63,assumptions!Y$2,baseCase_ECs!$B40:$BC40)</f>
        <v>920.2</v>
      </c>
      <c r="Z42" s="1">
        <f>AVERAGEIF(baseCase_ECs!$B$63:$BC$63,assumptions!Z$2,baseCase_ECs!$B40:$BC40)</f>
        <v>872.8</v>
      </c>
      <c r="AB42" s="1">
        <f>AVERAGEIF(baseCase_installedCap!$B$63:$BC$63,assumptions!AB$2,baseCase_installedCap!$B40:$BC40)</f>
        <v>3663075.6</v>
      </c>
      <c r="AC42" s="1">
        <f>AVERAGEIF(baseCase_installedCap!$B$63:$BC$63,assumptions!AC$2,baseCase_installedCap!$B40:$BC40)</f>
        <v>6242802</v>
      </c>
      <c r="AD42" s="1">
        <f>AVERAGEIF(baseCase_installedCap!$B$63:$BC$63,assumptions!AD$2,baseCase_installedCap!$B40:$BC40)</f>
        <v>8225515.2000000002</v>
      </c>
      <c r="AE42" s="1">
        <f>AVERAGEIF(baseCase_installedCap!$B$63:$BC$63,assumptions!AE$2,baseCase_installedCap!$B40:$BC40)</f>
        <v>8564877.5999999996</v>
      </c>
      <c r="AF42" s="1">
        <f>AVERAGEIF(baseCase_installedCap!$B$63:$BC$63,assumptions!AF$2,baseCase_installedCap!$B40:$BC40)</f>
        <v>9105568.8000000007</v>
      </c>
      <c r="AG42" s="1">
        <f>AVERAGEIF(baseCase_installedCap!$B$63:$BC$63,assumptions!AG$2,baseCase_installedCap!$B40:$BC40)</f>
        <v>9119247</v>
      </c>
      <c r="AH42" s="1">
        <f>AVERAGEIF(baseCase_installedCap!$B$63:$BC$63,assumptions!AH$2,baseCase_installedCap!$B40:$BC40)</f>
        <v>16449242.4</v>
      </c>
      <c r="AI42" s="1">
        <f>AVERAGEIF(baseCase_installedCap!$B$63:$BC$63,assumptions!AI$2,baseCase_installedCap!$B40:$BC40)</f>
        <v>37724386.200000003</v>
      </c>
      <c r="AJ42" s="1">
        <f>AVERAGEIF(baseCase_installedCap!$B$63:$BC$63,assumptions!AJ$2,baseCase_installedCap!$B40:$BC40)</f>
        <v>5209248.5999999996</v>
      </c>
      <c r="AL42" s="1">
        <f>AVERAGEIF(baseCase_percMembers!$B$63:$BC$63,assumptions!AL$2,baseCase_percMembers!$B40:$BC40)</f>
        <v>9.2218000000000018</v>
      </c>
      <c r="AM42" s="1">
        <f>AVERAGEIF(baseCase_percMembers!$B$63:$BC$63,assumptions!AM$2,baseCase_percMembers!$B40:$BC40)</f>
        <v>15.706999999999999</v>
      </c>
      <c r="AN42" s="1">
        <f>AVERAGEIF(baseCase_percMembers!$B$63:$BC$63,assumptions!AN$2,baseCase_percMembers!$B40:$BC40)</f>
        <v>20.695599999999999</v>
      </c>
      <c r="AO42" s="1">
        <f>AVERAGEIF(baseCase_percMembers!$B$63:$BC$63,assumptions!AO$2,baseCase_percMembers!$B40:$BC40)</f>
        <v>21.550599999999999</v>
      </c>
      <c r="AP42" s="1">
        <f>AVERAGEIF(baseCase_percMembers!$B$63:$BC$63,assumptions!AP$2,baseCase_percMembers!$B40:$BC40)</f>
        <v>22.909600000000001</v>
      </c>
      <c r="AQ42" s="1">
        <f>AVERAGEIF(baseCase_percMembers!$B$63:$BC$63,assumptions!AQ$2,baseCase_percMembers!$B40:$BC40)</f>
        <v>22.944000000000003</v>
      </c>
      <c r="AR42" s="1">
        <f>AVERAGEIF(baseCase_percMembers!$B$63:$BC$63,assumptions!AR$2,baseCase_percMembers!$B40:$BC40)</f>
        <v>41.386200000000002</v>
      </c>
      <c r="AS42" s="1">
        <f>AVERAGEIF(baseCase_percMembers!$B$63:$BC$63,assumptions!AS$2,baseCase_percMembers!$B40:$BC40)</f>
        <v>32.752400000000002</v>
      </c>
      <c r="AT42" s="1">
        <f>AVERAGEIF(baseCase_percMembers!$B$63:$BC$63,assumptions!AT$2,baseCase_percMembers!$B40:$BC40)</f>
        <v>13.112</v>
      </c>
    </row>
    <row r="43" spans="7:46" x14ac:dyDescent="0.3">
      <c r="G43">
        <v>2048</v>
      </c>
      <c r="H43" s="1">
        <f>AVERAGEIF(baseCase_projects!$B$63:$BC$63,assumptions!H$2,baseCase_projects!$B41:$BC41)</f>
        <v>8706</v>
      </c>
      <c r="I43" s="1">
        <f>AVERAGEIF(baseCase_projects!$B$63:$BC$63,assumptions!I$2,baseCase_projects!$B41:$BC41)</f>
        <v>14710.8</v>
      </c>
      <c r="J43" s="1">
        <f>AVERAGEIF(baseCase_projects!$B$63:$BC$63,assumptions!J$2,baseCase_projects!$B41:$BC41)</f>
        <v>19138</v>
      </c>
      <c r="K43" s="1">
        <f>AVERAGEIF(baseCase_projects!$B$63:$BC$63,assumptions!K$2,baseCase_projects!$B41:$BC41)</f>
        <v>20114</v>
      </c>
      <c r="L43" s="1">
        <f>AVERAGEIF(baseCase_projects!$B$63:$BC$63,assumptions!L$2,baseCase_projects!$B41:$BC41)</f>
        <v>21095.200000000001</v>
      </c>
      <c r="M43" s="1">
        <f>AVERAGEIF(baseCase_projects!$B$63:$BC$63,assumptions!M$2,baseCase_projects!$B41:$BC41)</f>
        <v>21068.400000000001</v>
      </c>
      <c r="N43" s="1">
        <f>AVERAGEIF(baseCase_projects!$B$63:$BC$63,assumptions!N$2,baseCase_projects!$B41:$BC41)</f>
        <v>37295</v>
      </c>
      <c r="O43" s="1">
        <f>AVERAGEIF(baseCase_projects!$B$63:$BC$63,assumptions!O$2,baseCase_projects!$B41:$BC41)</f>
        <v>29287.599999999999</v>
      </c>
      <c r="P43" s="1">
        <f>AVERAGEIF(baseCase_projects!$B$63:$BC$63,assumptions!P$2,baseCase_projects!$B41:$BC41)</f>
        <v>12731.6</v>
      </c>
      <c r="R43" s="1">
        <f>AVERAGEIF(baseCase_ECs!$B$63:$BC$63,assumptions!R$2,baseCase_ECs!$B41:$BC41)</f>
        <v>872.2</v>
      </c>
      <c r="S43" s="1">
        <f>AVERAGEIF(baseCase_ECs!$B$63:$BC$63,assumptions!S$2,baseCase_ECs!$B41:$BC41)</f>
        <v>910.2</v>
      </c>
      <c r="T43" s="1">
        <f>AVERAGEIF(baseCase_ECs!$B$63:$BC$63,assumptions!T$2,baseCase_ECs!$B41:$BC41)</f>
        <v>914.4</v>
      </c>
      <c r="U43" s="1">
        <f>AVERAGEIF(baseCase_ECs!$B$63:$BC$63,assumptions!U$2,baseCase_ECs!$B41:$BC41)</f>
        <v>908.8</v>
      </c>
      <c r="V43" s="1">
        <f>AVERAGEIF(baseCase_ECs!$B$63:$BC$63,assumptions!V$2,baseCase_ECs!$B41:$BC41)</f>
        <v>912.8</v>
      </c>
      <c r="W43" s="1">
        <f>AVERAGEIF(baseCase_ECs!$B$63:$BC$63,assumptions!W$2,baseCase_ECs!$B41:$BC41)</f>
        <v>915</v>
      </c>
      <c r="X43" s="1">
        <f>AVERAGEIF(baseCase_ECs!$B$63:$BC$63,assumptions!X$2,baseCase_ECs!$B41:$BC41)</f>
        <v>920.8</v>
      </c>
      <c r="Y43" s="1">
        <f>AVERAGEIF(baseCase_ECs!$B$63:$BC$63,assumptions!Y$2,baseCase_ECs!$B41:$BC41)</f>
        <v>920.2</v>
      </c>
      <c r="Z43" s="1">
        <f>AVERAGEIF(baseCase_ECs!$B$63:$BC$63,assumptions!Z$2,baseCase_ECs!$B41:$BC41)</f>
        <v>877</v>
      </c>
      <c r="AB43" s="1">
        <f>AVERAGEIF(baseCase_installedCap!$B$63:$BC$63,assumptions!AB$2,baseCase_installedCap!$B41:$BC41)</f>
        <v>3891582</v>
      </c>
      <c r="AC43" s="1">
        <f>AVERAGEIF(baseCase_installedCap!$B$63:$BC$63,assumptions!AC$2,baseCase_installedCap!$B41:$BC41)</f>
        <v>6575727.5999999996</v>
      </c>
      <c r="AD43" s="1">
        <f>AVERAGEIF(baseCase_installedCap!$B$63:$BC$63,assumptions!AD$2,baseCase_installedCap!$B41:$BC41)</f>
        <v>8554686</v>
      </c>
      <c r="AE43" s="1">
        <f>AVERAGEIF(baseCase_installedCap!$B$63:$BC$63,assumptions!AE$2,baseCase_installedCap!$B41:$BC41)</f>
        <v>8990958</v>
      </c>
      <c r="AF43" s="1">
        <f>AVERAGEIF(baseCase_installedCap!$B$63:$BC$63,assumptions!AF$2,baseCase_installedCap!$B41:$BC41)</f>
        <v>9429554.4000000004</v>
      </c>
      <c r="AG43" s="1">
        <f>AVERAGEIF(baseCase_installedCap!$B$63:$BC$63,assumptions!AG$2,baseCase_installedCap!$B41:$BC41)</f>
        <v>9417574.8000000007</v>
      </c>
      <c r="AH43" s="1">
        <f>AVERAGEIF(baseCase_installedCap!$B$63:$BC$63,assumptions!AH$2,baseCase_installedCap!$B41:$BC41)</f>
        <v>16670865</v>
      </c>
      <c r="AI43" s="1">
        <f>AVERAGEIF(baseCase_installedCap!$B$63:$BC$63,assumptions!AI$2,baseCase_installedCap!$B41:$BC41)</f>
        <v>37946187.600000001</v>
      </c>
      <c r="AJ43" s="1">
        <f>AVERAGEIF(baseCase_installedCap!$B$63:$BC$63,assumptions!AJ$2,baseCase_installedCap!$B41:$BC41)</f>
        <v>5691025.2000000002</v>
      </c>
      <c r="AL43" s="1">
        <f>AVERAGEIF(baseCase_percMembers!$B$63:$BC$63,assumptions!AL$2,baseCase_percMembers!$B41:$BC41)</f>
        <v>9.7966000000000015</v>
      </c>
      <c r="AM43" s="1">
        <f>AVERAGEIF(baseCase_percMembers!$B$63:$BC$63,assumptions!AM$2,baseCase_percMembers!$B41:$BC41)</f>
        <v>16.544599999999996</v>
      </c>
      <c r="AN43" s="1">
        <f>AVERAGEIF(baseCase_percMembers!$B$63:$BC$63,assumptions!AN$2,baseCase_percMembers!$B41:$BC41)</f>
        <v>21.523599999999998</v>
      </c>
      <c r="AO43" s="1">
        <f>AVERAGEIF(baseCase_percMembers!$B$63:$BC$63,assumptions!AO$2,baseCase_percMembers!$B41:$BC41)</f>
        <v>22.622199999999999</v>
      </c>
      <c r="AP43" s="1">
        <f>AVERAGEIF(baseCase_percMembers!$B$63:$BC$63,assumptions!AP$2,baseCase_percMembers!$B41:$BC41)</f>
        <v>23.724799999999998</v>
      </c>
      <c r="AQ43" s="1">
        <f>AVERAGEIF(baseCase_percMembers!$B$63:$BC$63,assumptions!AQ$2,baseCase_percMembers!$B41:$BC41)</f>
        <v>23.694800000000001</v>
      </c>
      <c r="AR43" s="1">
        <f>AVERAGEIF(baseCase_percMembers!$B$63:$BC$63,assumptions!AR$2,baseCase_percMembers!$B41:$BC41)</f>
        <v>41.943399999999997</v>
      </c>
      <c r="AS43" s="1">
        <f>AVERAGEIF(baseCase_percMembers!$B$63:$BC$63,assumptions!AS$2,baseCase_percMembers!$B41:$BC41)</f>
        <v>32.938200000000002</v>
      </c>
      <c r="AT43" s="1">
        <f>AVERAGEIF(baseCase_percMembers!$B$63:$BC$63,assumptions!AT$2,baseCase_percMembers!$B41:$BC41)</f>
        <v>14.3238</v>
      </c>
    </row>
    <row r="44" spans="7:46" x14ac:dyDescent="0.3">
      <c r="G44">
        <v>2049</v>
      </c>
      <c r="H44" s="1">
        <f>AVERAGEIF(baseCase_projects!$B$63:$BC$63,assumptions!H$2,baseCase_projects!$B42:$BC42)</f>
        <v>9173.7999999999993</v>
      </c>
      <c r="I44" s="1">
        <f>AVERAGEIF(baseCase_projects!$B$63:$BC$63,assumptions!I$2,baseCase_projects!$B42:$BC42)</f>
        <v>15221</v>
      </c>
      <c r="J44" s="1">
        <f>AVERAGEIF(baseCase_projects!$B$63:$BC$63,assumptions!J$2,baseCase_projects!$B42:$BC42)</f>
        <v>19655.400000000001</v>
      </c>
      <c r="K44" s="1">
        <f>AVERAGEIF(baseCase_projects!$B$63:$BC$63,assumptions!K$2,baseCase_projects!$B42:$BC42)</f>
        <v>20954.400000000001</v>
      </c>
      <c r="L44" s="1">
        <f>AVERAGEIF(baseCase_projects!$B$63:$BC$63,assumptions!L$2,baseCase_projects!$B42:$BC42)</f>
        <v>21681.599999999999</v>
      </c>
      <c r="M44" s="1">
        <f>AVERAGEIF(baseCase_projects!$B$63:$BC$63,assumptions!M$2,baseCase_projects!$B42:$BC42)</f>
        <v>21637.4</v>
      </c>
      <c r="N44" s="1">
        <f>AVERAGEIF(baseCase_projects!$B$63:$BC$63,assumptions!N$2,baseCase_projects!$B42:$BC42)</f>
        <v>37900.6</v>
      </c>
      <c r="O44" s="1">
        <f>AVERAGEIF(baseCase_projects!$B$63:$BC$63,assumptions!O$2,baseCase_projects!$B42:$BC42)</f>
        <v>29494.400000000001</v>
      </c>
      <c r="P44" s="1">
        <f>AVERAGEIF(baseCase_projects!$B$63:$BC$63,assumptions!P$2,baseCase_projects!$B42:$BC42)</f>
        <v>13803.8</v>
      </c>
      <c r="R44" s="1">
        <f>AVERAGEIF(baseCase_ECs!$B$63:$BC$63,assumptions!R$2,baseCase_ECs!$B42:$BC42)</f>
        <v>874.8</v>
      </c>
      <c r="S44" s="1">
        <f>AVERAGEIF(baseCase_ECs!$B$63:$BC$63,assumptions!S$2,baseCase_ECs!$B42:$BC42)</f>
        <v>911.4</v>
      </c>
      <c r="T44" s="1">
        <f>AVERAGEIF(baseCase_ECs!$B$63:$BC$63,assumptions!T$2,baseCase_ECs!$B42:$BC42)</f>
        <v>915</v>
      </c>
      <c r="U44" s="1">
        <f>AVERAGEIF(baseCase_ECs!$B$63:$BC$63,assumptions!U$2,baseCase_ECs!$B42:$BC42)</f>
        <v>910.4</v>
      </c>
      <c r="V44" s="1">
        <f>AVERAGEIF(baseCase_ECs!$B$63:$BC$63,assumptions!V$2,baseCase_ECs!$B42:$BC42)</f>
        <v>913.4</v>
      </c>
      <c r="W44" s="1">
        <f>AVERAGEIF(baseCase_ECs!$B$63:$BC$63,assumptions!W$2,baseCase_ECs!$B42:$BC42)</f>
        <v>915</v>
      </c>
      <c r="X44" s="1">
        <f>AVERAGEIF(baseCase_ECs!$B$63:$BC$63,assumptions!X$2,baseCase_ECs!$B42:$BC42)</f>
        <v>920.8</v>
      </c>
      <c r="Y44" s="1">
        <f>AVERAGEIF(baseCase_ECs!$B$63:$BC$63,assumptions!Y$2,baseCase_ECs!$B42:$BC42)</f>
        <v>920.4</v>
      </c>
      <c r="Z44" s="1">
        <f>AVERAGEIF(baseCase_ECs!$B$63:$BC$63,assumptions!Z$2,baseCase_ECs!$B42:$BC42)</f>
        <v>880.6</v>
      </c>
      <c r="AB44" s="1">
        <f>AVERAGEIF(baseCase_installedCap!$B$63:$BC$63,assumptions!AB$2,baseCase_installedCap!$B42:$BC42)</f>
        <v>4100688.6</v>
      </c>
      <c r="AC44" s="1">
        <f>AVERAGEIF(baseCase_installedCap!$B$63:$BC$63,assumptions!AC$2,baseCase_installedCap!$B42:$BC42)</f>
        <v>6803787</v>
      </c>
      <c r="AD44" s="1">
        <f>AVERAGEIF(baseCase_installedCap!$B$63:$BC$63,assumptions!AD$2,baseCase_installedCap!$B42:$BC42)</f>
        <v>8785963.8000000007</v>
      </c>
      <c r="AE44" s="1">
        <f>AVERAGEIF(baseCase_installedCap!$B$63:$BC$63,assumptions!AE$2,baseCase_installedCap!$B42:$BC42)</f>
        <v>9366616.8000000007</v>
      </c>
      <c r="AF44" s="1">
        <f>AVERAGEIF(baseCase_installedCap!$B$63:$BC$63,assumptions!AF$2,baseCase_installedCap!$B42:$BC42)</f>
        <v>9691675.1999999993</v>
      </c>
      <c r="AG44" s="1">
        <f>AVERAGEIF(baseCase_installedCap!$B$63:$BC$63,assumptions!AG$2,baseCase_installedCap!$B42:$BC42)</f>
        <v>9671917.8000000007</v>
      </c>
      <c r="AH44" s="1">
        <f>AVERAGEIF(baseCase_installedCap!$B$63:$BC$63,assumptions!AH$2,baseCase_installedCap!$B42:$BC42)</f>
        <v>16941568.199999999</v>
      </c>
      <c r="AI44" s="1">
        <f>AVERAGEIF(baseCase_installedCap!$B$63:$BC$63,assumptions!AI$2,baseCase_installedCap!$B42:$BC42)</f>
        <v>38223506.399999999</v>
      </c>
      <c r="AJ44" s="1">
        <f>AVERAGEIF(baseCase_installedCap!$B$63:$BC$63,assumptions!AJ$2,baseCase_installedCap!$B42:$BC42)</f>
        <v>6170298.5999999996</v>
      </c>
      <c r="AL44" s="1">
        <f>AVERAGEIF(baseCase_percMembers!$B$63:$BC$63,assumptions!AL$2,baseCase_percMembers!$B42:$BC42)</f>
        <v>10.3226</v>
      </c>
      <c r="AM44" s="1">
        <f>AVERAGEIF(baseCase_percMembers!$B$63:$BC$63,assumptions!AM$2,baseCase_percMembers!$B42:$BC42)</f>
        <v>17.118400000000001</v>
      </c>
      <c r="AN44" s="1">
        <f>AVERAGEIF(baseCase_percMembers!$B$63:$BC$63,assumptions!AN$2,baseCase_percMembers!$B42:$BC42)</f>
        <v>22.105399999999999</v>
      </c>
      <c r="AO44" s="1">
        <f>AVERAGEIF(baseCase_percMembers!$B$63:$BC$63,assumptions!AO$2,baseCase_percMembers!$B42:$BC42)</f>
        <v>23.567399999999999</v>
      </c>
      <c r="AP44" s="1">
        <f>AVERAGEIF(baseCase_percMembers!$B$63:$BC$63,assumptions!AP$2,baseCase_percMembers!$B42:$BC42)</f>
        <v>24.383999999999997</v>
      </c>
      <c r="AQ44" s="1">
        <f>AVERAGEIF(baseCase_percMembers!$B$63:$BC$63,assumptions!AQ$2,baseCase_percMembers!$B42:$BC42)</f>
        <v>24.334600000000002</v>
      </c>
      <c r="AR44" s="1">
        <f>AVERAGEIF(baseCase_percMembers!$B$63:$BC$63,assumptions!AR$2,baseCase_percMembers!$B42:$BC42)</f>
        <v>42.624600000000001</v>
      </c>
      <c r="AS44" s="1">
        <f>AVERAGEIF(baseCase_percMembers!$B$63:$BC$63,assumptions!AS$2,baseCase_percMembers!$B42:$BC42)</f>
        <v>33.1708</v>
      </c>
      <c r="AT44" s="1">
        <f>AVERAGEIF(baseCase_percMembers!$B$63:$BC$63,assumptions!AT$2,baseCase_percMembers!$B42:$BC42)</f>
        <v>15.5298</v>
      </c>
    </row>
    <row r="45" spans="7:46" x14ac:dyDescent="0.3">
      <c r="G45">
        <v>2050</v>
      </c>
      <c r="H45" s="1">
        <f>AVERAGEIF(baseCase_projects!$B$63:$BC$63,assumptions!H$2,baseCase_projects!$B43:$BC43)</f>
        <v>9640.7999999999993</v>
      </c>
      <c r="I45" s="1">
        <f>AVERAGEIF(baseCase_projects!$B$63:$BC$63,assumptions!I$2,baseCase_projects!$B43:$BC43)</f>
        <v>15832.4</v>
      </c>
      <c r="J45" s="1">
        <f>AVERAGEIF(baseCase_projects!$B$63:$BC$63,assumptions!J$2,baseCase_projects!$B43:$BC43)</f>
        <v>20253.400000000001</v>
      </c>
      <c r="K45" s="1">
        <f>AVERAGEIF(baseCase_projects!$B$63:$BC$63,assumptions!K$2,baseCase_projects!$B43:$BC43)</f>
        <v>21596.799999999999</v>
      </c>
      <c r="L45" s="1">
        <f>AVERAGEIF(baseCase_projects!$B$63:$BC$63,assumptions!L$2,baseCase_projects!$B43:$BC43)</f>
        <v>22159.599999999999</v>
      </c>
      <c r="M45" s="1">
        <f>AVERAGEIF(baseCase_projects!$B$63:$BC$63,assumptions!M$2,baseCase_projects!$B43:$BC43)</f>
        <v>22174.799999999999</v>
      </c>
      <c r="N45" s="1">
        <f>AVERAGEIF(baseCase_projects!$B$63:$BC$63,assumptions!N$2,baseCase_projects!$B43:$BC43)</f>
        <v>38164.6</v>
      </c>
      <c r="O45" s="1">
        <f>AVERAGEIF(baseCase_projects!$B$63:$BC$63,assumptions!O$2,baseCase_projects!$B43:$BC43)</f>
        <v>29590.799999999999</v>
      </c>
      <c r="P45" s="1">
        <f>AVERAGEIF(baseCase_projects!$B$63:$BC$63,assumptions!P$2,baseCase_projects!$B43:$BC43)</f>
        <v>14912.6</v>
      </c>
      <c r="R45" s="1">
        <f>AVERAGEIF(baseCase_ECs!$B$63:$BC$63,assumptions!R$2,baseCase_ECs!$B43:$BC43)</f>
        <v>879.4</v>
      </c>
      <c r="S45" s="1">
        <f>AVERAGEIF(baseCase_ECs!$B$63:$BC$63,assumptions!S$2,baseCase_ECs!$B43:$BC43)</f>
        <v>912.2</v>
      </c>
      <c r="T45" s="1">
        <f>AVERAGEIF(baseCase_ECs!$B$63:$BC$63,assumptions!T$2,baseCase_ECs!$B43:$BC43)</f>
        <v>915.8</v>
      </c>
      <c r="U45" s="1">
        <f>AVERAGEIF(baseCase_ECs!$B$63:$BC$63,assumptions!U$2,baseCase_ECs!$B43:$BC43)</f>
        <v>911</v>
      </c>
      <c r="V45" s="1">
        <f>AVERAGEIF(baseCase_ECs!$B$63:$BC$63,assumptions!V$2,baseCase_ECs!$B43:$BC43)</f>
        <v>913.6</v>
      </c>
      <c r="W45" s="1">
        <f>AVERAGEIF(baseCase_ECs!$B$63:$BC$63,assumptions!W$2,baseCase_ECs!$B43:$BC43)</f>
        <v>915.4</v>
      </c>
      <c r="X45" s="1">
        <f>AVERAGEIF(baseCase_ECs!$B$63:$BC$63,assumptions!X$2,baseCase_ECs!$B43:$BC43)</f>
        <v>921</v>
      </c>
      <c r="Y45" s="1">
        <f>AVERAGEIF(baseCase_ECs!$B$63:$BC$63,assumptions!Y$2,baseCase_ECs!$B43:$BC43)</f>
        <v>920.6</v>
      </c>
      <c r="Z45" s="1">
        <f>AVERAGEIF(baseCase_ECs!$B$63:$BC$63,assumptions!Z$2,baseCase_ECs!$B43:$BC43)</f>
        <v>883.8</v>
      </c>
      <c r="AB45" s="1">
        <f>AVERAGEIF(baseCase_installedCap!$B$63:$BC$63,assumptions!AB$2,baseCase_installedCap!$B43:$BC43)</f>
        <v>4309437.5999999996</v>
      </c>
      <c r="AC45" s="1">
        <f>AVERAGEIF(baseCase_installedCap!$B$63:$BC$63,assumptions!AC$2,baseCase_installedCap!$B43:$BC43)</f>
        <v>7077082.7999999998</v>
      </c>
      <c r="AD45" s="1">
        <f>AVERAGEIF(baseCase_installedCap!$B$63:$BC$63,assumptions!AD$2,baseCase_installedCap!$B43:$BC43)</f>
        <v>9053269.8000000007</v>
      </c>
      <c r="AE45" s="1">
        <f>AVERAGEIF(baseCase_installedCap!$B$63:$BC$63,assumptions!AE$2,baseCase_installedCap!$B43:$BC43)</f>
        <v>9653769.5999999996</v>
      </c>
      <c r="AF45" s="1">
        <f>AVERAGEIF(baseCase_installedCap!$B$63:$BC$63,assumptions!AF$2,baseCase_installedCap!$B43:$BC43)</f>
        <v>9905341.1999999993</v>
      </c>
      <c r="AG45" s="1">
        <f>AVERAGEIF(baseCase_installedCap!$B$63:$BC$63,assumptions!AG$2,baseCase_installedCap!$B43:$BC43)</f>
        <v>9912135.5999999996</v>
      </c>
      <c r="AH45" s="1">
        <f>AVERAGEIF(baseCase_installedCap!$B$63:$BC$63,assumptions!AH$2,baseCase_installedCap!$B43:$BC43)</f>
        <v>17059576.199999999</v>
      </c>
      <c r="AI45" s="1">
        <f>AVERAGEIF(baseCase_installedCap!$B$63:$BC$63,assumptions!AI$2,baseCase_installedCap!$B43:$BC43)</f>
        <v>38352778.799999997</v>
      </c>
      <c r="AJ45" s="1">
        <f>AVERAGEIF(baseCase_installedCap!$B$63:$BC$63,assumptions!AJ$2,baseCase_installedCap!$B43:$BC43)</f>
        <v>6665932.2000000002</v>
      </c>
      <c r="AL45" s="1">
        <f>AVERAGEIF(baseCase_percMembers!$B$63:$BC$63,assumptions!AL$2,baseCase_percMembers!$B43:$BC43)</f>
        <v>10.847800000000001</v>
      </c>
      <c r="AM45" s="1">
        <f>AVERAGEIF(baseCase_percMembers!$B$63:$BC$63,assumptions!AM$2,baseCase_percMembers!$B43:$BC43)</f>
        <v>17.806000000000004</v>
      </c>
      <c r="AN45" s="1">
        <f>AVERAGEIF(baseCase_percMembers!$B$63:$BC$63,assumptions!AN$2,baseCase_percMembers!$B43:$BC43)</f>
        <v>22.777799999999999</v>
      </c>
      <c r="AO45" s="1">
        <f>AVERAGEIF(baseCase_percMembers!$B$63:$BC$63,assumptions!AO$2,baseCase_percMembers!$B43:$BC43)</f>
        <v>24.289799999999996</v>
      </c>
      <c r="AP45" s="1">
        <f>AVERAGEIF(baseCase_percMembers!$B$63:$BC$63,assumptions!AP$2,baseCase_percMembers!$B43:$BC43)</f>
        <v>24.921600000000002</v>
      </c>
      <c r="AQ45" s="1">
        <f>AVERAGEIF(baseCase_percMembers!$B$63:$BC$63,assumptions!AQ$2,baseCase_percMembers!$B43:$BC43)</f>
        <v>24.938799999999997</v>
      </c>
      <c r="AR45" s="1">
        <f>AVERAGEIF(baseCase_percMembers!$B$63:$BC$63,assumptions!AR$2,baseCase_percMembers!$B43:$BC43)</f>
        <v>42.921599999999998</v>
      </c>
      <c r="AS45" s="1">
        <f>AVERAGEIF(baseCase_percMembers!$B$63:$BC$63,assumptions!AS$2,baseCase_percMembers!$B43:$BC43)</f>
        <v>33.279200000000003</v>
      </c>
      <c r="AT45" s="1">
        <f>AVERAGEIF(baseCase_percMembers!$B$63:$BC$63,assumptions!AT$2,baseCase_percMembers!$B43:$BC43)</f>
        <v>16.776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BC66"/>
  <sheetViews>
    <sheetView topLeftCell="M25" zoomScale="85" zoomScaleNormal="85" workbookViewId="0">
      <selection activeCell="AF63" sqref="AF63"/>
    </sheetView>
  </sheetViews>
  <sheetFormatPr defaultRowHeight="14.4" x14ac:dyDescent="0.3"/>
  <sheetData>
    <row r="1" spans="1:55" x14ac:dyDescent="0.3">
      <c r="A1" t="s">
        <v>0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</row>
    <row r="2" spans="1:55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</row>
    <row r="3" spans="1:55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</row>
    <row r="4" spans="1:55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</row>
    <row r="5" spans="1:55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</row>
    <row r="6" spans="1:55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</row>
    <row r="7" spans="1:55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</row>
    <row r="8" spans="1:55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</row>
    <row r="9" spans="1:55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</row>
    <row r="10" spans="1:55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</row>
    <row r="11" spans="1:55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</row>
    <row r="12" spans="1:55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</row>
    <row r="13" spans="1:55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</row>
    <row r="14" spans="1:55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</row>
    <row r="15" spans="1:55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</row>
    <row r="16" spans="1:55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</row>
    <row r="17" spans="1:55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</row>
    <row r="18" spans="1:55" x14ac:dyDescent="0.3">
      <c r="A18">
        <v>2025</v>
      </c>
      <c r="B18">
        <v>708</v>
      </c>
      <c r="C18">
        <v>708</v>
      </c>
      <c r="D18">
        <v>708</v>
      </c>
      <c r="E18">
        <v>716</v>
      </c>
      <c r="F18">
        <v>708</v>
      </c>
      <c r="G18">
        <v>708</v>
      </c>
      <c r="H18">
        <v>708</v>
      </c>
      <c r="I18">
        <v>708</v>
      </c>
      <c r="J18">
        <v>708</v>
      </c>
      <c r="K18">
        <v>711</v>
      </c>
      <c r="L18">
        <v>708</v>
      </c>
      <c r="M18">
        <v>708</v>
      </c>
      <c r="N18">
        <v>709</v>
      </c>
      <c r="O18">
        <v>708</v>
      </c>
      <c r="P18">
        <v>708</v>
      </c>
      <c r="Q18">
        <v>724</v>
      </c>
      <c r="R18">
        <v>708</v>
      </c>
      <c r="S18">
        <v>708</v>
      </c>
      <c r="T18">
        <v>708</v>
      </c>
      <c r="U18">
        <v>709</v>
      </c>
      <c r="V18">
        <v>708</v>
      </c>
      <c r="W18">
        <v>708</v>
      </c>
      <c r="X18">
        <v>708</v>
      </c>
      <c r="Y18">
        <v>710</v>
      </c>
      <c r="Z18">
        <v>708</v>
      </c>
      <c r="AA18">
        <v>708</v>
      </c>
      <c r="AB18">
        <v>708</v>
      </c>
      <c r="AC18">
        <v>708</v>
      </c>
      <c r="AD18">
        <v>708</v>
      </c>
      <c r="AE18">
        <v>708</v>
      </c>
      <c r="AF18">
        <v>708</v>
      </c>
      <c r="AG18">
        <v>708</v>
      </c>
      <c r="AH18">
        <v>712</v>
      </c>
      <c r="AI18">
        <v>708</v>
      </c>
      <c r="AJ18">
        <v>708</v>
      </c>
      <c r="AK18">
        <v>727</v>
      </c>
      <c r="AL18">
        <v>709</v>
      </c>
      <c r="AM18">
        <v>709</v>
      </c>
      <c r="AN18">
        <v>708</v>
      </c>
      <c r="AO18">
        <v>708</v>
      </c>
      <c r="AP18">
        <v>708</v>
      </c>
      <c r="AQ18">
        <v>708</v>
      </c>
      <c r="AR18">
        <v>709</v>
      </c>
      <c r="AS18">
        <v>708</v>
      </c>
      <c r="AT18">
        <v>708</v>
      </c>
      <c r="AU18">
        <v>708</v>
      </c>
      <c r="AV18">
        <v>728</v>
      </c>
      <c r="AW18">
        <v>715</v>
      </c>
      <c r="AX18">
        <v>708</v>
      </c>
      <c r="AY18">
        <v>709</v>
      </c>
      <c r="AZ18">
        <v>708</v>
      </c>
      <c r="BA18">
        <v>708</v>
      </c>
      <c r="BB18">
        <v>708</v>
      </c>
      <c r="BC18">
        <v>713</v>
      </c>
    </row>
    <row r="19" spans="1:55" x14ac:dyDescent="0.3">
      <c r="A19">
        <v>2026</v>
      </c>
      <c r="B19">
        <v>710</v>
      </c>
      <c r="C19">
        <v>708</v>
      </c>
      <c r="D19">
        <v>708</v>
      </c>
      <c r="E19">
        <v>723</v>
      </c>
      <c r="F19">
        <v>708</v>
      </c>
      <c r="G19">
        <v>757</v>
      </c>
      <c r="H19">
        <v>768</v>
      </c>
      <c r="I19">
        <v>755</v>
      </c>
      <c r="J19">
        <v>769</v>
      </c>
      <c r="K19">
        <v>773</v>
      </c>
      <c r="L19">
        <v>747</v>
      </c>
      <c r="M19">
        <v>765</v>
      </c>
      <c r="N19">
        <v>767</v>
      </c>
      <c r="O19">
        <v>755</v>
      </c>
      <c r="P19">
        <v>751</v>
      </c>
      <c r="Q19">
        <v>743</v>
      </c>
      <c r="R19">
        <v>710</v>
      </c>
      <c r="S19">
        <v>723</v>
      </c>
      <c r="T19">
        <v>713</v>
      </c>
      <c r="U19">
        <v>723</v>
      </c>
      <c r="V19">
        <v>732</v>
      </c>
      <c r="W19">
        <v>718</v>
      </c>
      <c r="X19">
        <v>720</v>
      </c>
      <c r="Y19">
        <v>737</v>
      </c>
      <c r="Z19">
        <v>725</v>
      </c>
      <c r="AA19">
        <v>770</v>
      </c>
      <c r="AB19">
        <v>770</v>
      </c>
      <c r="AC19">
        <v>759</v>
      </c>
      <c r="AD19">
        <v>747</v>
      </c>
      <c r="AE19">
        <v>753</v>
      </c>
      <c r="AF19">
        <v>740</v>
      </c>
      <c r="AG19">
        <v>763</v>
      </c>
      <c r="AH19">
        <v>771</v>
      </c>
      <c r="AI19">
        <v>763</v>
      </c>
      <c r="AJ19">
        <v>742</v>
      </c>
      <c r="AK19">
        <v>792</v>
      </c>
      <c r="AL19">
        <v>768</v>
      </c>
      <c r="AM19">
        <v>773</v>
      </c>
      <c r="AN19">
        <v>767</v>
      </c>
      <c r="AO19">
        <v>761</v>
      </c>
      <c r="AP19">
        <v>711</v>
      </c>
      <c r="AQ19">
        <v>715</v>
      </c>
      <c r="AR19">
        <v>711</v>
      </c>
      <c r="AS19">
        <v>709</v>
      </c>
      <c r="AT19">
        <v>708</v>
      </c>
      <c r="AU19">
        <v>708</v>
      </c>
      <c r="AV19">
        <v>738</v>
      </c>
      <c r="AW19">
        <v>722</v>
      </c>
      <c r="AX19">
        <v>708</v>
      </c>
      <c r="AY19">
        <v>714</v>
      </c>
      <c r="AZ19">
        <v>709</v>
      </c>
      <c r="BA19">
        <v>708</v>
      </c>
      <c r="BB19">
        <v>708</v>
      </c>
      <c r="BC19">
        <v>725</v>
      </c>
    </row>
    <row r="20" spans="1:55" x14ac:dyDescent="0.3">
      <c r="A20">
        <v>2027</v>
      </c>
      <c r="B20">
        <v>715</v>
      </c>
      <c r="C20">
        <v>714</v>
      </c>
      <c r="D20">
        <v>712</v>
      </c>
      <c r="E20">
        <v>734</v>
      </c>
      <c r="F20">
        <v>711</v>
      </c>
      <c r="G20">
        <v>797</v>
      </c>
      <c r="H20">
        <v>804</v>
      </c>
      <c r="I20">
        <v>796</v>
      </c>
      <c r="J20">
        <v>812</v>
      </c>
      <c r="K20">
        <v>809</v>
      </c>
      <c r="L20">
        <v>796</v>
      </c>
      <c r="M20">
        <v>802</v>
      </c>
      <c r="N20">
        <v>814</v>
      </c>
      <c r="O20">
        <v>792</v>
      </c>
      <c r="P20">
        <v>790</v>
      </c>
      <c r="Q20">
        <v>754</v>
      </c>
      <c r="R20">
        <v>724</v>
      </c>
      <c r="S20">
        <v>743</v>
      </c>
      <c r="T20">
        <v>723</v>
      </c>
      <c r="U20">
        <v>747</v>
      </c>
      <c r="V20">
        <v>765</v>
      </c>
      <c r="W20">
        <v>753</v>
      </c>
      <c r="X20">
        <v>749</v>
      </c>
      <c r="Y20">
        <v>771</v>
      </c>
      <c r="Z20">
        <v>763</v>
      </c>
      <c r="AA20">
        <v>817</v>
      </c>
      <c r="AB20">
        <v>815</v>
      </c>
      <c r="AC20">
        <v>793</v>
      </c>
      <c r="AD20">
        <v>799</v>
      </c>
      <c r="AE20">
        <v>792</v>
      </c>
      <c r="AF20">
        <v>796</v>
      </c>
      <c r="AG20">
        <v>806</v>
      </c>
      <c r="AH20">
        <v>816</v>
      </c>
      <c r="AI20">
        <v>793</v>
      </c>
      <c r="AJ20">
        <v>782</v>
      </c>
      <c r="AK20">
        <v>823</v>
      </c>
      <c r="AL20">
        <v>807</v>
      </c>
      <c r="AM20">
        <v>821</v>
      </c>
      <c r="AN20">
        <v>810</v>
      </c>
      <c r="AO20">
        <v>801</v>
      </c>
      <c r="AP20">
        <v>715</v>
      </c>
      <c r="AQ20">
        <v>719</v>
      </c>
      <c r="AR20">
        <v>719</v>
      </c>
      <c r="AS20">
        <v>712</v>
      </c>
      <c r="AT20">
        <v>709</v>
      </c>
      <c r="AU20">
        <v>713</v>
      </c>
      <c r="AV20">
        <v>745</v>
      </c>
      <c r="AW20">
        <v>732</v>
      </c>
      <c r="AX20">
        <v>709</v>
      </c>
      <c r="AY20">
        <v>717</v>
      </c>
      <c r="AZ20">
        <v>710</v>
      </c>
      <c r="BA20">
        <v>711</v>
      </c>
      <c r="BB20">
        <v>710</v>
      </c>
      <c r="BC20">
        <v>738</v>
      </c>
    </row>
    <row r="21" spans="1:55" x14ac:dyDescent="0.3">
      <c r="A21">
        <v>2028</v>
      </c>
      <c r="B21">
        <v>725</v>
      </c>
      <c r="C21">
        <v>723</v>
      </c>
      <c r="D21">
        <v>718</v>
      </c>
      <c r="E21">
        <v>747</v>
      </c>
      <c r="F21">
        <v>721</v>
      </c>
      <c r="G21">
        <v>824</v>
      </c>
      <c r="H21">
        <v>833</v>
      </c>
      <c r="I21">
        <v>825</v>
      </c>
      <c r="J21">
        <v>832</v>
      </c>
      <c r="K21">
        <v>836</v>
      </c>
      <c r="L21">
        <v>815</v>
      </c>
      <c r="M21">
        <v>840</v>
      </c>
      <c r="N21">
        <v>843</v>
      </c>
      <c r="O21">
        <v>820</v>
      </c>
      <c r="P21">
        <v>819</v>
      </c>
      <c r="Q21">
        <v>769</v>
      </c>
      <c r="R21">
        <v>735</v>
      </c>
      <c r="S21">
        <v>768</v>
      </c>
      <c r="T21">
        <v>743</v>
      </c>
      <c r="U21">
        <v>764</v>
      </c>
      <c r="V21">
        <v>793</v>
      </c>
      <c r="W21">
        <v>776</v>
      </c>
      <c r="X21">
        <v>772</v>
      </c>
      <c r="Y21">
        <v>801</v>
      </c>
      <c r="Z21">
        <v>783</v>
      </c>
      <c r="AA21">
        <v>838</v>
      </c>
      <c r="AB21">
        <v>837</v>
      </c>
      <c r="AC21">
        <v>820</v>
      </c>
      <c r="AD21">
        <v>840</v>
      </c>
      <c r="AE21">
        <v>824</v>
      </c>
      <c r="AF21">
        <v>820</v>
      </c>
      <c r="AG21">
        <v>832</v>
      </c>
      <c r="AH21">
        <v>847</v>
      </c>
      <c r="AI21">
        <v>820</v>
      </c>
      <c r="AJ21">
        <v>821</v>
      </c>
      <c r="AK21">
        <v>843</v>
      </c>
      <c r="AL21">
        <v>839</v>
      </c>
      <c r="AM21">
        <v>843</v>
      </c>
      <c r="AN21">
        <v>842</v>
      </c>
      <c r="AO21">
        <v>835</v>
      </c>
      <c r="AP21">
        <v>719</v>
      </c>
      <c r="AQ21">
        <v>727</v>
      </c>
      <c r="AR21">
        <v>727</v>
      </c>
      <c r="AS21">
        <v>723</v>
      </c>
      <c r="AT21">
        <v>714</v>
      </c>
      <c r="AU21">
        <v>716</v>
      </c>
      <c r="AV21">
        <v>755</v>
      </c>
      <c r="AW21">
        <v>743</v>
      </c>
      <c r="AX21">
        <v>714</v>
      </c>
      <c r="AY21">
        <v>728</v>
      </c>
      <c r="AZ21">
        <v>714</v>
      </c>
      <c r="BA21">
        <v>720</v>
      </c>
      <c r="BB21">
        <v>717</v>
      </c>
      <c r="BC21">
        <v>747</v>
      </c>
    </row>
    <row r="22" spans="1:55" x14ac:dyDescent="0.3">
      <c r="A22">
        <v>2029</v>
      </c>
      <c r="B22">
        <v>736</v>
      </c>
      <c r="C22">
        <v>736</v>
      </c>
      <c r="D22">
        <v>731</v>
      </c>
      <c r="E22">
        <v>758</v>
      </c>
      <c r="F22">
        <v>731</v>
      </c>
      <c r="G22">
        <v>845</v>
      </c>
      <c r="H22">
        <v>849</v>
      </c>
      <c r="I22">
        <v>840</v>
      </c>
      <c r="J22">
        <v>847</v>
      </c>
      <c r="K22">
        <v>857</v>
      </c>
      <c r="L22">
        <v>836</v>
      </c>
      <c r="M22">
        <v>859</v>
      </c>
      <c r="N22">
        <v>856</v>
      </c>
      <c r="O22">
        <v>851</v>
      </c>
      <c r="P22">
        <v>845</v>
      </c>
      <c r="Q22">
        <v>782</v>
      </c>
      <c r="R22">
        <v>754</v>
      </c>
      <c r="S22">
        <v>781</v>
      </c>
      <c r="T22">
        <v>760</v>
      </c>
      <c r="U22">
        <v>781</v>
      </c>
      <c r="V22">
        <v>816</v>
      </c>
      <c r="W22">
        <v>800</v>
      </c>
      <c r="X22">
        <v>802</v>
      </c>
      <c r="Y22">
        <v>822</v>
      </c>
      <c r="Z22">
        <v>813</v>
      </c>
      <c r="AA22">
        <v>850</v>
      </c>
      <c r="AB22">
        <v>858</v>
      </c>
      <c r="AC22">
        <v>838</v>
      </c>
      <c r="AD22">
        <v>860</v>
      </c>
      <c r="AE22">
        <v>846</v>
      </c>
      <c r="AF22">
        <v>854</v>
      </c>
      <c r="AG22">
        <v>861</v>
      </c>
      <c r="AH22">
        <v>867</v>
      </c>
      <c r="AI22">
        <v>846</v>
      </c>
      <c r="AJ22">
        <v>856</v>
      </c>
      <c r="AK22">
        <v>866</v>
      </c>
      <c r="AL22">
        <v>859</v>
      </c>
      <c r="AM22">
        <v>857</v>
      </c>
      <c r="AN22">
        <v>856</v>
      </c>
      <c r="AO22">
        <v>865</v>
      </c>
      <c r="AP22">
        <v>732</v>
      </c>
      <c r="AQ22">
        <v>742</v>
      </c>
      <c r="AR22">
        <v>735</v>
      </c>
      <c r="AS22">
        <v>730</v>
      </c>
      <c r="AT22">
        <v>722</v>
      </c>
      <c r="AU22">
        <v>728</v>
      </c>
      <c r="AV22">
        <v>763</v>
      </c>
      <c r="AW22">
        <v>752</v>
      </c>
      <c r="AX22">
        <v>720</v>
      </c>
      <c r="AY22">
        <v>737</v>
      </c>
      <c r="AZ22">
        <v>723</v>
      </c>
      <c r="BA22">
        <v>727</v>
      </c>
      <c r="BB22">
        <v>724</v>
      </c>
      <c r="BC22">
        <v>754</v>
      </c>
    </row>
    <row r="23" spans="1:55" x14ac:dyDescent="0.3">
      <c r="A23">
        <v>2030</v>
      </c>
      <c r="B23">
        <v>743</v>
      </c>
      <c r="C23">
        <v>754</v>
      </c>
      <c r="D23">
        <v>740</v>
      </c>
      <c r="E23">
        <v>767</v>
      </c>
      <c r="F23">
        <v>735</v>
      </c>
      <c r="G23">
        <v>854</v>
      </c>
      <c r="H23">
        <v>863</v>
      </c>
      <c r="I23">
        <v>855</v>
      </c>
      <c r="J23">
        <v>858</v>
      </c>
      <c r="K23">
        <v>866</v>
      </c>
      <c r="L23">
        <v>861</v>
      </c>
      <c r="M23">
        <v>869</v>
      </c>
      <c r="N23">
        <v>872</v>
      </c>
      <c r="O23">
        <v>870</v>
      </c>
      <c r="P23">
        <v>854</v>
      </c>
      <c r="Q23">
        <v>806</v>
      </c>
      <c r="R23">
        <v>768</v>
      </c>
      <c r="S23">
        <v>791</v>
      </c>
      <c r="T23">
        <v>773</v>
      </c>
      <c r="U23">
        <v>790</v>
      </c>
      <c r="V23">
        <v>833</v>
      </c>
      <c r="W23">
        <v>816</v>
      </c>
      <c r="X23">
        <v>819</v>
      </c>
      <c r="Y23">
        <v>841</v>
      </c>
      <c r="Z23">
        <v>832</v>
      </c>
      <c r="AA23">
        <v>867</v>
      </c>
      <c r="AB23">
        <v>865</v>
      </c>
      <c r="AC23">
        <v>856</v>
      </c>
      <c r="AD23">
        <v>880</v>
      </c>
      <c r="AE23">
        <v>859</v>
      </c>
      <c r="AF23">
        <v>871</v>
      </c>
      <c r="AG23">
        <v>884</v>
      </c>
      <c r="AH23">
        <v>883</v>
      </c>
      <c r="AI23">
        <v>871</v>
      </c>
      <c r="AJ23">
        <v>878</v>
      </c>
      <c r="AK23">
        <v>884</v>
      </c>
      <c r="AL23">
        <v>879</v>
      </c>
      <c r="AM23">
        <v>873</v>
      </c>
      <c r="AN23">
        <v>875</v>
      </c>
      <c r="AO23">
        <v>878</v>
      </c>
      <c r="AP23">
        <v>749</v>
      </c>
      <c r="AQ23">
        <v>747</v>
      </c>
      <c r="AR23">
        <v>749</v>
      </c>
      <c r="AS23">
        <v>740</v>
      </c>
      <c r="AT23">
        <v>728</v>
      </c>
      <c r="AU23">
        <v>736</v>
      </c>
      <c r="AV23">
        <v>770</v>
      </c>
      <c r="AW23">
        <v>760</v>
      </c>
      <c r="AX23">
        <v>726</v>
      </c>
      <c r="AY23">
        <v>748</v>
      </c>
      <c r="AZ23">
        <v>736</v>
      </c>
      <c r="BA23">
        <v>737</v>
      </c>
      <c r="BB23">
        <v>729</v>
      </c>
      <c r="BC23">
        <v>763</v>
      </c>
    </row>
    <row r="24" spans="1:55" x14ac:dyDescent="0.3">
      <c r="A24">
        <v>2031</v>
      </c>
      <c r="B24">
        <v>755</v>
      </c>
      <c r="C24">
        <v>762</v>
      </c>
      <c r="D24">
        <v>746</v>
      </c>
      <c r="E24">
        <v>777</v>
      </c>
      <c r="F24">
        <v>746</v>
      </c>
      <c r="G24">
        <v>864</v>
      </c>
      <c r="H24">
        <v>876</v>
      </c>
      <c r="I24">
        <v>862</v>
      </c>
      <c r="J24">
        <v>865</v>
      </c>
      <c r="K24">
        <v>876</v>
      </c>
      <c r="L24">
        <v>872</v>
      </c>
      <c r="M24">
        <v>874</v>
      </c>
      <c r="N24">
        <v>878</v>
      </c>
      <c r="O24">
        <v>878</v>
      </c>
      <c r="P24">
        <v>870</v>
      </c>
      <c r="Q24">
        <v>824</v>
      </c>
      <c r="R24">
        <v>787</v>
      </c>
      <c r="S24">
        <v>812</v>
      </c>
      <c r="T24">
        <v>791</v>
      </c>
      <c r="U24">
        <v>808</v>
      </c>
      <c r="V24">
        <v>855</v>
      </c>
      <c r="W24">
        <v>837</v>
      </c>
      <c r="X24">
        <v>851</v>
      </c>
      <c r="Y24">
        <v>855</v>
      </c>
      <c r="Z24">
        <v>849</v>
      </c>
      <c r="AA24">
        <v>878</v>
      </c>
      <c r="AB24">
        <v>876</v>
      </c>
      <c r="AC24">
        <v>872</v>
      </c>
      <c r="AD24">
        <v>887</v>
      </c>
      <c r="AE24">
        <v>876</v>
      </c>
      <c r="AF24">
        <v>889</v>
      </c>
      <c r="AG24">
        <v>896</v>
      </c>
      <c r="AH24">
        <v>892</v>
      </c>
      <c r="AI24">
        <v>889</v>
      </c>
      <c r="AJ24">
        <v>888</v>
      </c>
      <c r="AK24">
        <v>892</v>
      </c>
      <c r="AL24">
        <v>892</v>
      </c>
      <c r="AM24">
        <v>893</v>
      </c>
      <c r="AN24">
        <v>890</v>
      </c>
      <c r="AO24">
        <v>889</v>
      </c>
      <c r="AP24">
        <v>761</v>
      </c>
      <c r="AQ24">
        <v>755</v>
      </c>
      <c r="AR24">
        <v>759</v>
      </c>
      <c r="AS24">
        <v>748</v>
      </c>
      <c r="AT24">
        <v>737</v>
      </c>
      <c r="AU24">
        <v>741</v>
      </c>
      <c r="AV24">
        <v>784</v>
      </c>
      <c r="AW24">
        <v>765</v>
      </c>
      <c r="AX24">
        <v>737</v>
      </c>
      <c r="AY24">
        <v>757</v>
      </c>
      <c r="AZ24">
        <v>747</v>
      </c>
      <c r="BA24">
        <v>741</v>
      </c>
      <c r="BB24">
        <v>741</v>
      </c>
      <c r="BC24">
        <v>772</v>
      </c>
    </row>
    <row r="25" spans="1:55" x14ac:dyDescent="0.3">
      <c r="A25">
        <v>2032</v>
      </c>
      <c r="B25">
        <v>765</v>
      </c>
      <c r="C25">
        <v>772</v>
      </c>
      <c r="D25">
        <v>756</v>
      </c>
      <c r="E25">
        <v>783</v>
      </c>
      <c r="F25">
        <v>761</v>
      </c>
      <c r="G25">
        <v>873</v>
      </c>
      <c r="H25">
        <v>884</v>
      </c>
      <c r="I25">
        <v>874</v>
      </c>
      <c r="J25">
        <v>873</v>
      </c>
      <c r="K25">
        <v>879</v>
      </c>
      <c r="L25">
        <v>885</v>
      </c>
      <c r="M25">
        <v>883</v>
      </c>
      <c r="N25">
        <v>882</v>
      </c>
      <c r="O25">
        <v>885</v>
      </c>
      <c r="P25">
        <v>878</v>
      </c>
      <c r="Q25">
        <v>846</v>
      </c>
      <c r="R25">
        <v>805</v>
      </c>
      <c r="S25">
        <v>834</v>
      </c>
      <c r="T25">
        <v>803</v>
      </c>
      <c r="U25">
        <v>821</v>
      </c>
      <c r="V25">
        <v>865</v>
      </c>
      <c r="W25">
        <v>863</v>
      </c>
      <c r="X25">
        <v>864</v>
      </c>
      <c r="Y25">
        <v>867</v>
      </c>
      <c r="Z25">
        <v>864</v>
      </c>
      <c r="AA25">
        <v>885</v>
      </c>
      <c r="AB25">
        <v>884</v>
      </c>
      <c r="AC25">
        <v>887</v>
      </c>
      <c r="AD25">
        <v>896</v>
      </c>
      <c r="AE25">
        <v>884</v>
      </c>
      <c r="AF25">
        <v>897</v>
      </c>
      <c r="AG25">
        <v>904</v>
      </c>
      <c r="AH25">
        <v>902</v>
      </c>
      <c r="AI25">
        <v>900</v>
      </c>
      <c r="AJ25">
        <v>899</v>
      </c>
      <c r="AK25">
        <v>900</v>
      </c>
      <c r="AL25">
        <v>898</v>
      </c>
      <c r="AM25">
        <v>904</v>
      </c>
      <c r="AN25">
        <v>900</v>
      </c>
      <c r="AO25">
        <v>898</v>
      </c>
      <c r="AP25">
        <v>768</v>
      </c>
      <c r="AQ25">
        <v>758</v>
      </c>
      <c r="AR25">
        <v>761</v>
      </c>
      <c r="AS25">
        <v>755</v>
      </c>
      <c r="AT25">
        <v>741</v>
      </c>
      <c r="AU25">
        <v>748</v>
      </c>
      <c r="AV25">
        <v>801</v>
      </c>
      <c r="AW25">
        <v>774</v>
      </c>
      <c r="AX25">
        <v>748</v>
      </c>
      <c r="AY25">
        <v>764</v>
      </c>
      <c r="AZ25">
        <v>752</v>
      </c>
      <c r="BA25">
        <v>752</v>
      </c>
      <c r="BB25">
        <v>757</v>
      </c>
      <c r="BC25">
        <v>778</v>
      </c>
    </row>
    <row r="26" spans="1:55" x14ac:dyDescent="0.3">
      <c r="A26">
        <v>2033</v>
      </c>
      <c r="B26">
        <v>772</v>
      </c>
      <c r="C26">
        <v>778</v>
      </c>
      <c r="D26">
        <v>769</v>
      </c>
      <c r="E26">
        <v>787</v>
      </c>
      <c r="F26">
        <v>767</v>
      </c>
      <c r="G26">
        <v>877</v>
      </c>
      <c r="H26">
        <v>888</v>
      </c>
      <c r="I26">
        <v>879</v>
      </c>
      <c r="J26">
        <v>877</v>
      </c>
      <c r="K26">
        <v>884</v>
      </c>
      <c r="L26">
        <v>890</v>
      </c>
      <c r="M26">
        <v>887</v>
      </c>
      <c r="N26">
        <v>888</v>
      </c>
      <c r="O26">
        <v>891</v>
      </c>
      <c r="P26">
        <v>882</v>
      </c>
      <c r="Q26">
        <v>857</v>
      </c>
      <c r="R26">
        <v>817</v>
      </c>
      <c r="S26">
        <v>843</v>
      </c>
      <c r="T26">
        <v>825</v>
      </c>
      <c r="U26">
        <v>836</v>
      </c>
      <c r="V26">
        <v>871</v>
      </c>
      <c r="W26">
        <v>878</v>
      </c>
      <c r="X26">
        <v>874</v>
      </c>
      <c r="Y26">
        <v>875</v>
      </c>
      <c r="Z26">
        <v>872</v>
      </c>
      <c r="AA26">
        <v>891</v>
      </c>
      <c r="AB26">
        <v>891</v>
      </c>
      <c r="AC26">
        <v>894</v>
      </c>
      <c r="AD26">
        <v>899</v>
      </c>
      <c r="AE26">
        <v>893</v>
      </c>
      <c r="AF26">
        <v>902</v>
      </c>
      <c r="AG26">
        <v>909</v>
      </c>
      <c r="AH26">
        <v>907</v>
      </c>
      <c r="AI26">
        <v>907</v>
      </c>
      <c r="AJ26">
        <v>906</v>
      </c>
      <c r="AK26">
        <v>912</v>
      </c>
      <c r="AL26">
        <v>904</v>
      </c>
      <c r="AM26">
        <v>909</v>
      </c>
      <c r="AN26">
        <v>906</v>
      </c>
      <c r="AO26">
        <v>909</v>
      </c>
      <c r="AP26">
        <v>775</v>
      </c>
      <c r="AQ26">
        <v>767</v>
      </c>
      <c r="AR26">
        <v>773</v>
      </c>
      <c r="AS26">
        <v>770</v>
      </c>
      <c r="AT26">
        <v>745</v>
      </c>
      <c r="AU26">
        <v>752</v>
      </c>
      <c r="AV26">
        <v>809</v>
      </c>
      <c r="AW26">
        <v>784</v>
      </c>
      <c r="AX26">
        <v>755</v>
      </c>
      <c r="AY26">
        <v>773</v>
      </c>
      <c r="AZ26">
        <v>758</v>
      </c>
      <c r="BA26">
        <v>765</v>
      </c>
      <c r="BB26">
        <v>765</v>
      </c>
      <c r="BC26">
        <v>783</v>
      </c>
    </row>
    <row r="27" spans="1:55" x14ac:dyDescent="0.3">
      <c r="A27">
        <v>2034</v>
      </c>
      <c r="B27">
        <v>781</v>
      </c>
      <c r="C27">
        <v>785</v>
      </c>
      <c r="D27">
        <v>775</v>
      </c>
      <c r="E27">
        <v>796</v>
      </c>
      <c r="F27">
        <v>775</v>
      </c>
      <c r="G27">
        <v>880</v>
      </c>
      <c r="H27">
        <v>893</v>
      </c>
      <c r="I27">
        <v>882</v>
      </c>
      <c r="J27">
        <v>879</v>
      </c>
      <c r="K27">
        <v>889</v>
      </c>
      <c r="L27">
        <v>895</v>
      </c>
      <c r="M27">
        <v>894</v>
      </c>
      <c r="N27">
        <v>895</v>
      </c>
      <c r="O27">
        <v>892</v>
      </c>
      <c r="P27">
        <v>889</v>
      </c>
      <c r="Q27">
        <v>867</v>
      </c>
      <c r="R27">
        <v>836</v>
      </c>
      <c r="S27">
        <v>859</v>
      </c>
      <c r="T27">
        <v>841</v>
      </c>
      <c r="U27">
        <v>849</v>
      </c>
      <c r="V27">
        <v>881</v>
      </c>
      <c r="W27">
        <v>887</v>
      </c>
      <c r="X27">
        <v>885</v>
      </c>
      <c r="Y27">
        <v>884</v>
      </c>
      <c r="Z27">
        <v>880</v>
      </c>
      <c r="AA27">
        <v>896</v>
      </c>
      <c r="AB27">
        <v>895</v>
      </c>
      <c r="AC27">
        <v>896</v>
      </c>
      <c r="AD27">
        <v>901</v>
      </c>
      <c r="AE27">
        <v>897</v>
      </c>
      <c r="AF27">
        <v>905</v>
      </c>
      <c r="AG27">
        <v>913</v>
      </c>
      <c r="AH27">
        <v>911</v>
      </c>
      <c r="AI27">
        <v>911</v>
      </c>
      <c r="AJ27">
        <v>908</v>
      </c>
      <c r="AK27">
        <v>914</v>
      </c>
      <c r="AL27">
        <v>910</v>
      </c>
      <c r="AM27">
        <v>915</v>
      </c>
      <c r="AN27">
        <v>911</v>
      </c>
      <c r="AO27">
        <v>911</v>
      </c>
      <c r="AP27">
        <v>788</v>
      </c>
      <c r="AQ27">
        <v>780</v>
      </c>
      <c r="AR27">
        <v>785</v>
      </c>
      <c r="AS27">
        <v>777</v>
      </c>
      <c r="AT27">
        <v>755</v>
      </c>
      <c r="AU27">
        <v>766</v>
      </c>
      <c r="AV27">
        <v>819</v>
      </c>
      <c r="AW27">
        <v>795</v>
      </c>
      <c r="AX27">
        <v>762</v>
      </c>
      <c r="AY27">
        <v>781</v>
      </c>
      <c r="AZ27">
        <v>767</v>
      </c>
      <c r="BA27">
        <v>773</v>
      </c>
      <c r="BB27">
        <v>774</v>
      </c>
      <c r="BC27">
        <v>792</v>
      </c>
    </row>
    <row r="28" spans="1:55" x14ac:dyDescent="0.3">
      <c r="A28">
        <v>2035</v>
      </c>
      <c r="B28">
        <v>793</v>
      </c>
      <c r="C28">
        <v>792</v>
      </c>
      <c r="D28">
        <v>780</v>
      </c>
      <c r="E28">
        <v>807</v>
      </c>
      <c r="F28">
        <v>781</v>
      </c>
      <c r="G28">
        <v>882</v>
      </c>
      <c r="H28">
        <v>895</v>
      </c>
      <c r="I28">
        <v>885</v>
      </c>
      <c r="J28">
        <v>884</v>
      </c>
      <c r="K28">
        <v>894</v>
      </c>
      <c r="L28">
        <v>898</v>
      </c>
      <c r="M28">
        <v>896</v>
      </c>
      <c r="N28">
        <v>895</v>
      </c>
      <c r="O28">
        <v>894</v>
      </c>
      <c r="P28">
        <v>896</v>
      </c>
      <c r="Q28">
        <v>874</v>
      </c>
      <c r="R28">
        <v>848</v>
      </c>
      <c r="S28">
        <v>866</v>
      </c>
      <c r="T28">
        <v>858</v>
      </c>
      <c r="U28">
        <v>864</v>
      </c>
      <c r="V28">
        <v>888</v>
      </c>
      <c r="W28">
        <v>890</v>
      </c>
      <c r="X28">
        <v>891</v>
      </c>
      <c r="Y28">
        <v>891</v>
      </c>
      <c r="Z28">
        <v>888</v>
      </c>
      <c r="AA28">
        <v>900</v>
      </c>
      <c r="AB28">
        <v>901</v>
      </c>
      <c r="AC28">
        <v>900</v>
      </c>
      <c r="AD28">
        <v>901</v>
      </c>
      <c r="AE28">
        <v>900</v>
      </c>
      <c r="AF28">
        <v>911</v>
      </c>
      <c r="AG28">
        <v>915</v>
      </c>
      <c r="AH28">
        <v>916</v>
      </c>
      <c r="AI28">
        <v>914</v>
      </c>
      <c r="AJ28">
        <v>911</v>
      </c>
      <c r="AK28">
        <v>917</v>
      </c>
      <c r="AL28">
        <v>911</v>
      </c>
      <c r="AM28">
        <v>915</v>
      </c>
      <c r="AN28">
        <v>912</v>
      </c>
      <c r="AO28">
        <v>913</v>
      </c>
      <c r="AP28">
        <v>795</v>
      </c>
      <c r="AQ28">
        <v>791</v>
      </c>
      <c r="AR28">
        <v>791</v>
      </c>
      <c r="AS28">
        <v>783</v>
      </c>
      <c r="AT28">
        <v>762</v>
      </c>
      <c r="AU28">
        <v>775</v>
      </c>
      <c r="AV28">
        <v>823</v>
      </c>
      <c r="AW28">
        <v>802</v>
      </c>
      <c r="AX28">
        <v>772</v>
      </c>
      <c r="AY28">
        <v>788</v>
      </c>
      <c r="AZ28">
        <v>773</v>
      </c>
      <c r="BA28">
        <v>781</v>
      </c>
      <c r="BB28">
        <v>779</v>
      </c>
      <c r="BC28">
        <v>808</v>
      </c>
    </row>
    <row r="29" spans="1:55" x14ac:dyDescent="0.3">
      <c r="A29">
        <v>2036</v>
      </c>
      <c r="B29">
        <v>798</v>
      </c>
      <c r="C29">
        <v>804</v>
      </c>
      <c r="D29">
        <v>789</v>
      </c>
      <c r="E29">
        <v>816</v>
      </c>
      <c r="F29">
        <v>789</v>
      </c>
      <c r="G29">
        <v>887</v>
      </c>
      <c r="H29">
        <v>897</v>
      </c>
      <c r="I29">
        <v>888</v>
      </c>
      <c r="J29">
        <v>886</v>
      </c>
      <c r="K29">
        <v>896</v>
      </c>
      <c r="L29">
        <v>899</v>
      </c>
      <c r="M29">
        <v>898</v>
      </c>
      <c r="N29">
        <v>900</v>
      </c>
      <c r="O29">
        <v>895</v>
      </c>
      <c r="P29">
        <v>897</v>
      </c>
      <c r="Q29">
        <v>886</v>
      </c>
      <c r="R29">
        <v>856</v>
      </c>
      <c r="S29">
        <v>874</v>
      </c>
      <c r="T29">
        <v>865</v>
      </c>
      <c r="U29">
        <v>876</v>
      </c>
      <c r="V29">
        <v>895</v>
      </c>
      <c r="W29">
        <v>895</v>
      </c>
      <c r="X29">
        <v>894</v>
      </c>
      <c r="Y29">
        <v>898</v>
      </c>
      <c r="Z29">
        <v>892</v>
      </c>
      <c r="AA29">
        <v>902</v>
      </c>
      <c r="AB29">
        <v>902</v>
      </c>
      <c r="AC29">
        <v>904</v>
      </c>
      <c r="AD29">
        <v>904</v>
      </c>
      <c r="AE29">
        <v>902</v>
      </c>
      <c r="AF29">
        <v>914</v>
      </c>
      <c r="AG29">
        <v>917</v>
      </c>
      <c r="AH29">
        <v>918</v>
      </c>
      <c r="AI29">
        <v>915</v>
      </c>
      <c r="AJ29">
        <v>914</v>
      </c>
      <c r="AK29">
        <v>918</v>
      </c>
      <c r="AL29">
        <v>913</v>
      </c>
      <c r="AM29">
        <v>916</v>
      </c>
      <c r="AN29">
        <v>915</v>
      </c>
      <c r="AO29">
        <v>913</v>
      </c>
      <c r="AP29">
        <v>802</v>
      </c>
      <c r="AQ29">
        <v>795</v>
      </c>
      <c r="AR29">
        <v>804</v>
      </c>
      <c r="AS29">
        <v>790</v>
      </c>
      <c r="AT29">
        <v>768</v>
      </c>
      <c r="AU29">
        <v>781</v>
      </c>
      <c r="AV29">
        <v>829</v>
      </c>
      <c r="AW29">
        <v>816</v>
      </c>
      <c r="AX29">
        <v>786</v>
      </c>
      <c r="AY29">
        <v>793</v>
      </c>
      <c r="AZ29">
        <v>782</v>
      </c>
      <c r="BA29">
        <v>794</v>
      </c>
      <c r="BB29">
        <v>785</v>
      </c>
      <c r="BC29">
        <v>821</v>
      </c>
    </row>
    <row r="30" spans="1:55" x14ac:dyDescent="0.3">
      <c r="A30">
        <v>2037</v>
      </c>
      <c r="B30">
        <v>807</v>
      </c>
      <c r="C30">
        <v>809</v>
      </c>
      <c r="D30">
        <v>791</v>
      </c>
      <c r="E30">
        <v>825</v>
      </c>
      <c r="F30">
        <v>796</v>
      </c>
      <c r="G30">
        <v>889</v>
      </c>
      <c r="H30">
        <v>898</v>
      </c>
      <c r="I30">
        <v>891</v>
      </c>
      <c r="J30">
        <v>889</v>
      </c>
      <c r="K30">
        <v>897</v>
      </c>
      <c r="L30">
        <v>902</v>
      </c>
      <c r="M30">
        <v>900</v>
      </c>
      <c r="N30">
        <v>902</v>
      </c>
      <c r="O30">
        <v>900</v>
      </c>
      <c r="P30">
        <v>902</v>
      </c>
      <c r="Q30">
        <v>892</v>
      </c>
      <c r="R30">
        <v>866</v>
      </c>
      <c r="S30">
        <v>879</v>
      </c>
      <c r="T30">
        <v>874</v>
      </c>
      <c r="U30">
        <v>885</v>
      </c>
      <c r="V30">
        <v>899</v>
      </c>
      <c r="W30">
        <v>898</v>
      </c>
      <c r="X30">
        <v>899</v>
      </c>
      <c r="Y30">
        <v>899</v>
      </c>
      <c r="Z30">
        <v>898</v>
      </c>
      <c r="AA30">
        <v>903</v>
      </c>
      <c r="AB30">
        <v>904</v>
      </c>
      <c r="AC30">
        <v>906</v>
      </c>
      <c r="AD30">
        <v>905</v>
      </c>
      <c r="AE30">
        <v>909</v>
      </c>
      <c r="AF30">
        <v>914</v>
      </c>
      <c r="AG30">
        <v>918</v>
      </c>
      <c r="AH30">
        <v>920</v>
      </c>
      <c r="AI30">
        <v>917</v>
      </c>
      <c r="AJ30">
        <v>916</v>
      </c>
      <c r="AK30">
        <v>919</v>
      </c>
      <c r="AL30">
        <v>914</v>
      </c>
      <c r="AM30">
        <v>917</v>
      </c>
      <c r="AN30">
        <v>917</v>
      </c>
      <c r="AO30">
        <v>913</v>
      </c>
      <c r="AP30">
        <v>812</v>
      </c>
      <c r="AQ30">
        <v>810</v>
      </c>
      <c r="AR30">
        <v>811</v>
      </c>
      <c r="AS30">
        <v>801</v>
      </c>
      <c r="AT30">
        <v>778</v>
      </c>
      <c r="AU30">
        <v>789</v>
      </c>
      <c r="AV30">
        <v>835</v>
      </c>
      <c r="AW30">
        <v>824</v>
      </c>
      <c r="AX30">
        <v>795</v>
      </c>
      <c r="AY30">
        <v>804</v>
      </c>
      <c r="AZ30">
        <v>786</v>
      </c>
      <c r="BA30">
        <v>802</v>
      </c>
      <c r="BB30">
        <v>793</v>
      </c>
      <c r="BC30">
        <v>828</v>
      </c>
    </row>
    <row r="31" spans="1:55" x14ac:dyDescent="0.3">
      <c r="A31">
        <v>2038</v>
      </c>
      <c r="B31">
        <v>815</v>
      </c>
      <c r="C31">
        <v>817</v>
      </c>
      <c r="D31">
        <v>803</v>
      </c>
      <c r="E31">
        <v>830</v>
      </c>
      <c r="F31">
        <v>804</v>
      </c>
      <c r="G31">
        <v>894</v>
      </c>
      <c r="H31">
        <v>898</v>
      </c>
      <c r="I31">
        <v>899</v>
      </c>
      <c r="J31">
        <v>893</v>
      </c>
      <c r="K31">
        <v>900</v>
      </c>
      <c r="L31">
        <v>904</v>
      </c>
      <c r="M31">
        <v>903</v>
      </c>
      <c r="N31">
        <v>905</v>
      </c>
      <c r="O31">
        <v>902</v>
      </c>
      <c r="P31">
        <v>906</v>
      </c>
      <c r="Q31">
        <v>895</v>
      </c>
      <c r="R31">
        <v>875</v>
      </c>
      <c r="S31">
        <v>889</v>
      </c>
      <c r="T31">
        <v>876</v>
      </c>
      <c r="U31">
        <v>888</v>
      </c>
      <c r="V31">
        <v>901</v>
      </c>
      <c r="W31">
        <v>905</v>
      </c>
      <c r="X31">
        <v>900</v>
      </c>
      <c r="Y31">
        <v>900</v>
      </c>
      <c r="Z31">
        <v>900</v>
      </c>
      <c r="AA31">
        <v>908</v>
      </c>
      <c r="AB31">
        <v>905</v>
      </c>
      <c r="AC31">
        <v>908</v>
      </c>
      <c r="AD31">
        <v>908</v>
      </c>
      <c r="AE31">
        <v>910</v>
      </c>
      <c r="AF31">
        <v>915</v>
      </c>
      <c r="AG31">
        <v>918</v>
      </c>
      <c r="AH31">
        <v>920</v>
      </c>
      <c r="AI31">
        <v>919</v>
      </c>
      <c r="AJ31">
        <v>917</v>
      </c>
      <c r="AK31">
        <v>919</v>
      </c>
      <c r="AL31">
        <v>914</v>
      </c>
      <c r="AM31">
        <v>917</v>
      </c>
      <c r="AN31">
        <v>917</v>
      </c>
      <c r="AO31">
        <v>916</v>
      </c>
      <c r="AP31">
        <v>821</v>
      </c>
      <c r="AQ31">
        <v>818</v>
      </c>
      <c r="AR31">
        <v>818</v>
      </c>
      <c r="AS31">
        <v>805</v>
      </c>
      <c r="AT31">
        <v>783</v>
      </c>
      <c r="AU31">
        <v>801</v>
      </c>
      <c r="AV31">
        <v>848</v>
      </c>
      <c r="AW31">
        <v>831</v>
      </c>
      <c r="AX31">
        <v>809</v>
      </c>
      <c r="AY31">
        <v>818</v>
      </c>
      <c r="AZ31">
        <v>794</v>
      </c>
      <c r="BA31">
        <v>810</v>
      </c>
      <c r="BB31">
        <v>804</v>
      </c>
      <c r="BC31">
        <v>838</v>
      </c>
    </row>
    <row r="32" spans="1:55" x14ac:dyDescent="0.3">
      <c r="A32">
        <v>2039</v>
      </c>
      <c r="B32">
        <v>821</v>
      </c>
      <c r="C32">
        <v>823</v>
      </c>
      <c r="D32">
        <v>814</v>
      </c>
      <c r="E32">
        <v>836</v>
      </c>
      <c r="F32">
        <v>811</v>
      </c>
      <c r="G32">
        <v>894</v>
      </c>
      <c r="H32">
        <v>899</v>
      </c>
      <c r="I32">
        <v>901</v>
      </c>
      <c r="J32">
        <v>895</v>
      </c>
      <c r="K32">
        <v>905</v>
      </c>
      <c r="L32">
        <v>905</v>
      </c>
      <c r="M32">
        <v>904</v>
      </c>
      <c r="N32">
        <v>906</v>
      </c>
      <c r="O32">
        <v>903</v>
      </c>
      <c r="P32">
        <v>908</v>
      </c>
      <c r="Q32">
        <v>901</v>
      </c>
      <c r="R32">
        <v>882</v>
      </c>
      <c r="S32">
        <v>893</v>
      </c>
      <c r="T32">
        <v>881</v>
      </c>
      <c r="U32">
        <v>891</v>
      </c>
      <c r="V32">
        <v>903</v>
      </c>
      <c r="W32">
        <v>907</v>
      </c>
      <c r="X32">
        <v>902</v>
      </c>
      <c r="Y32">
        <v>904</v>
      </c>
      <c r="Z32">
        <v>903</v>
      </c>
      <c r="AA32">
        <v>909</v>
      </c>
      <c r="AB32">
        <v>907</v>
      </c>
      <c r="AC32">
        <v>908</v>
      </c>
      <c r="AD32">
        <v>912</v>
      </c>
      <c r="AE32">
        <v>911</v>
      </c>
      <c r="AF32">
        <v>916</v>
      </c>
      <c r="AG32">
        <v>919</v>
      </c>
      <c r="AH32">
        <v>921</v>
      </c>
      <c r="AI32">
        <v>919</v>
      </c>
      <c r="AJ32">
        <v>919</v>
      </c>
      <c r="AK32">
        <v>919</v>
      </c>
      <c r="AL32">
        <v>915</v>
      </c>
      <c r="AM32">
        <v>919</v>
      </c>
      <c r="AN32">
        <v>917</v>
      </c>
      <c r="AO32">
        <v>917</v>
      </c>
      <c r="AP32">
        <v>830</v>
      </c>
      <c r="AQ32">
        <v>824</v>
      </c>
      <c r="AR32">
        <v>834</v>
      </c>
      <c r="AS32">
        <v>821</v>
      </c>
      <c r="AT32">
        <v>796</v>
      </c>
      <c r="AU32">
        <v>808</v>
      </c>
      <c r="AV32">
        <v>859</v>
      </c>
      <c r="AW32">
        <v>839</v>
      </c>
      <c r="AX32">
        <v>816</v>
      </c>
      <c r="AY32">
        <v>824</v>
      </c>
      <c r="AZ32">
        <v>803</v>
      </c>
      <c r="BA32">
        <v>813</v>
      </c>
      <c r="BB32">
        <v>812</v>
      </c>
      <c r="BC32">
        <v>848</v>
      </c>
    </row>
    <row r="33" spans="1:55" x14ac:dyDescent="0.3">
      <c r="A33">
        <v>2040</v>
      </c>
      <c r="B33">
        <v>826</v>
      </c>
      <c r="C33">
        <v>832</v>
      </c>
      <c r="D33">
        <v>818</v>
      </c>
      <c r="E33">
        <v>844</v>
      </c>
      <c r="F33">
        <v>819</v>
      </c>
      <c r="G33">
        <v>898</v>
      </c>
      <c r="H33">
        <v>902</v>
      </c>
      <c r="I33">
        <v>901</v>
      </c>
      <c r="J33">
        <v>899</v>
      </c>
      <c r="K33">
        <v>906</v>
      </c>
      <c r="L33">
        <v>909</v>
      </c>
      <c r="M33">
        <v>905</v>
      </c>
      <c r="N33">
        <v>906</v>
      </c>
      <c r="O33">
        <v>906</v>
      </c>
      <c r="P33">
        <v>908</v>
      </c>
      <c r="Q33">
        <v>903</v>
      </c>
      <c r="R33">
        <v>885</v>
      </c>
      <c r="S33">
        <v>898</v>
      </c>
      <c r="T33">
        <v>885</v>
      </c>
      <c r="U33">
        <v>892</v>
      </c>
      <c r="V33">
        <v>904</v>
      </c>
      <c r="W33">
        <v>910</v>
      </c>
      <c r="X33">
        <v>904</v>
      </c>
      <c r="Y33">
        <v>905</v>
      </c>
      <c r="Z33">
        <v>907</v>
      </c>
      <c r="AA33">
        <v>910</v>
      </c>
      <c r="AB33">
        <v>908</v>
      </c>
      <c r="AC33">
        <v>910</v>
      </c>
      <c r="AD33">
        <v>913</v>
      </c>
      <c r="AE33">
        <v>912</v>
      </c>
      <c r="AF33">
        <v>916</v>
      </c>
      <c r="AG33">
        <v>919</v>
      </c>
      <c r="AH33">
        <v>921</v>
      </c>
      <c r="AI33">
        <v>920</v>
      </c>
      <c r="AJ33">
        <v>920</v>
      </c>
      <c r="AK33">
        <v>921</v>
      </c>
      <c r="AL33">
        <v>916</v>
      </c>
      <c r="AM33">
        <v>919</v>
      </c>
      <c r="AN33">
        <v>917</v>
      </c>
      <c r="AO33">
        <v>917</v>
      </c>
      <c r="AP33">
        <v>842</v>
      </c>
      <c r="AQ33">
        <v>833</v>
      </c>
      <c r="AR33">
        <v>836</v>
      </c>
      <c r="AS33">
        <v>825</v>
      </c>
      <c r="AT33">
        <v>804</v>
      </c>
      <c r="AU33">
        <v>815</v>
      </c>
      <c r="AV33">
        <v>859</v>
      </c>
      <c r="AW33">
        <v>846</v>
      </c>
      <c r="AX33">
        <v>822</v>
      </c>
      <c r="AY33">
        <v>833</v>
      </c>
      <c r="AZ33">
        <v>807</v>
      </c>
      <c r="BA33">
        <v>819</v>
      </c>
      <c r="BB33">
        <v>822</v>
      </c>
      <c r="BC33">
        <v>854</v>
      </c>
    </row>
    <row r="34" spans="1:55" x14ac:dyDescent="0.3">
      <c r="A34">
        <v>2041</v>
      </c>
      <c r="B34">
        <v>828</v>
      </c>
      <c r="C34">
        <v>839</v>
      </c>
      <c r="D34">
        <v>823</v>
      </c>
      <c r="E34">
        <v>850</v>
      </c>
      <c r="F34">
        <v>826</v>
      </c>
      <c r="G34">
        <v>902</v>
      </c>
      <c r="H34">
        <v>903</v>
      </c>
      <c r="I34">
        <v>903</v>
      </c>
      <c r="J34">
        <v>903</v>
      </c>
      <c r="K34">
        <v>907</v>
      </c>
      <c r="L34">
        <v>909</v>
      </c>
      <c r="M34">
        <v>906</v>
      </c>
      <c r="N34">
        <v>906</v>
      </c>
      <c r="O34">
        <v>908</v>
      </c>
      <c r="P34">
        <v>909</v>
      </c>
      <c r="Q34">
        <v>905</v>
      </c>
      <c r="R34">
        <v>889</v>
      </c>
      <c r="S34">
        <v>901</v>
      </c>
      <c r="T34">
        <v>889</v>
      </c>
      <c r="U34">
        <v>895</v>
      </c>
      <c r="V34">
        <v>907</v>
      </c>
      <c r="W34">
        <v>911</v>
      </c>
      <c r="X34">
        <v>906</v>
      </c>
      <c r="Y34">
        <v>905</v>
      </c>
      <c r="Z34">
        <v>907</v>
      </c>
      <c r="AA34">
        <v>910</v>
      </c>
      <c r="AB34">
        <v>908</v>
      </c>
      <c r="AC34">
        <v>910</v>
      </c>
      <c r="AD34">
        <v>913</v>
      </c>
      <c r="AE34">
        <v>912</v>
      </c>
      <c r="AF34">
        <v>917</v>
      </c>
      <c r="AG34">
        <v>919</v>
      </c>
      <c r="AH34">
        <v>921</v>
      </c>
      <c r="AI34">
        <v>921</v>
      </c>
      <c r="AJ34">
        <v>920</v>
      </c>
      <c r="AK34">
        <v>921</v>
      </c>
      <c r="AL34">
        <v>916</v>
      </c>
      <c r="AM34">
        <v>920</v>
      </c>
      <c r="AN34">
        <v>917</v>
      </c>
      <c r="AO34">
        <v>917</v>
      </c>
      <c r="AP34">
        <v>852</v>
      </c>
      <c r="AQ34">
        <v>839</v>
      </c>
      <c r="AR34">
        <v>840</v>
      </c>
      <c r="AS34">
        <v>834</v>
      </c>
      <c r="AT34">
        <v>811</v>
      </c>
      <c r="AU34">
        <v>824</v>
      </c>
      <c r="AV34">
        <v>867</v>
      </c>
      <c r="AW34">
        <v>851</v>
      </c>
      <c r="AX34">
        <v>830</v>
      </c>
      <c r="AY34">
        <v>839</v>
      </c>
      <c r="AZ34">
        <v>816</v>
      </c>
      <c r="BA34">
        <v>834</v>
      </c>
      <c r="BB34">
        <v>828</v>
      </c>
      <c r="BC34">
        <v>861</v>
      </c>
    </row>
    <row r="35" spans="1:55" x14ac:dyDescent="0.3">
      <c r="A35">
        <v>2042</v>
      </c>
      <c r="B35">
        <v>837</v>
      </c>
      <c r="C35">
        <v>843</v>
      </c>
      <c r="D35">
        <v>830</v>
      </c>
      <c r="E35">
        <v>857</v>
      </c>
      <c r="F35">
        <v>833</v>
      </c>
      <c r="G35">
        <v>904</v>
      </c>
      <c r="H35">
        <v>905</v>
      </c>
      <c r="I35">
        <v>905</v>
      </c>
      <c r="J35">
        <v>903</v>
      </c>
      <c r="K35">
        <v>909</v>
      </c>
      <c r="L35">
        <v>910</v>
      </c>
      <c r="M35">
        <v>907</v>
      </c>
      <c r="N35">
        <v>906</v>
      </c>
      <c r="O35">
        <v>908</v>
      </c>
      <c r="P35">
        <v>910</v>
      </c>
      <c r="Q35">
        <v>907</v>
      </c>
      <c r="R35">
        <v>893</v>
      </c>
      <c r="S35">
        <v>903</v>
      </c>
      <c r="T35">
        <v>891</v>
      </c>
      <c r="U35">
        <v>897</v>
      </c>
      <c r="V35">
        <v>912</v>
      </c>
      <c r="W35">
        <v>911</v>
      </c>
      <c r="X35">
        <v>909</v>
      </c>
      <c r="Y35">
        <v>909</v>
      </c>
      <c r="Z35">
        <v>908</v>
      </c>
      <c r="AA35">
        <v>910</v>
      </c>
      <c r="AB35">
        <v>910</v>
      </c>
      <c r="AC35">
        <v>912</v>
      </c>
      <c r="AD35">
        <v>913</v>
      </c>
      <c r="AE35">
        <v>915</v>
      </c>
      <c r="AF35">
        <v>917</v>
      </c>
      <c r="AG35">
        <v>919</v>
      </c>
      <c r="AH35">
        <v>921</v>
      </c>
      <c r="AI35">
        <v>921</v>
      </c>
      <c r="AJ35">
        <v>921</v>
      </c>
      <c r="AK35">
        <v>921</v>
      </c>
      <c r="AL35">
        <v>916</v>
      </c>
      <c r="AM35">
        <v>921</v>
      </c>
      <c r="AN35">
        <v>918</v>
      </c>
      <c r="AO35">
        <v>919</v>
      </c>
      <c r="AP35">
        <v>857</v>
      </c>
      <c r="AQ35">
        <v>842</v>
      </c>
      <c r="AR35">
        <v>847</v>
      </c>
      <c r="AS35">
        <v>842</v>
      </c>
      <c r="AT35">
        <v>819</v>
      </c>
      <c r="AU35">
        <v>834</v>
      </c>
      <c r="AV35">
        <v>870</v>
      </c>
      <c r="AW35">
        <v>860</v>
      </c>
      <c r="AX35">
        <v>835</v>
      </c>
      <c r="AY35">
        <v>846</v>
      </c>
      <c r="AZ35">
        <v>826</v>
      </c>
      <c r="BA35">
        <v>839</v>
      </c>
      <c r="BB35">
        <v>835</v>
      </c>
      <c r="BC35">
        <v>868</v>
      </c>
    </row>
    <row r="36" spans="1:55" x14ac:dyDescent="0.3">
      <c r="A36">
        <v>2043</v>
      </c>
      <c r="B36">
        <v>844</v>
      </c>
      <c r="C36">
        <v>848</v>
      </c>
      <c r="D36">
        <v>834</v>
      </c>
      <c r="E36">
        <v>859</v>
      </c>
      <c r="F36">
        <v>844</v>
      </c>
      <c r="G36">
        <v>905</v>
      </c>
      <c r="H36">
        <v>905</v>
      </c>
      <c r="I36">
        <v>907</v>
      </c>
      <c r="J36">
        <v>904</v>
      </c>
      <c r="K36">
        <v>911</v>
      </c>
      <c r="L36">
        <v>910</v>
      </c>
      <c r="M36">
        <v>908</v>
      </c>
      <c r="N36">
        <v>907</v>
      </c>
      <c r="O36">
        <v>909</v>
      </c>
      <c r="P36">
        <v>912</v>
      </c>
      <c r="Q36">
        <v>908</v>
      </c>
      <c r="R36">
        <v>896</v>
      </c>
      <c r="S36">
        <v>905</v>
      </c>
      <c r="T36">
        <v>893</v>
      </c>
      <c r="U36">
        <v>899</v>
      </c>
      <c r="V36">
        <v>912</v>
      </c>
      <c r="W36">
        <v>911</v>
      </c>
      <c r="X36">
        <v>911</v>
      </c>
      <c r="Y36">
        <v>909</v>
      </c>
      <c r="Z36">
        <v>908</v>
      </c>
      <c r="AA36">
        <v>911</v>
      </c>
      <c r="AB36">
        <v>910</v>
      </c>
      <c r="AC36">
        <v>915</v>
      </c>
      <c r="AD36">
        <v>914</v>
      </c>
      <c r="AE36">
        <v>915</v>
      </c>
      <c r="AF36">
        <v>917</v>
      </c>
      <c r="AG36">
        <v>919</v>
      </c>
      <c r="AH36">
        <v>921</v>
      </c>
      <c r="AI36">
        <v>921</v>
      </c>
      <c r="AJ36">
        <v>922</v>
      </c>
      <c r="AK36">
        <v>921</v>
      </c>
      <c r="AL36">
        <v>916</v>
      </c>
      <c r="AM36">
        <v>921</v>
      </c>
      <c r="AN36">
        <v>919</v>
      </c>
      <c r="AO36">
        <v>919</v>
      </c>
      <c r="AP36">
        <v>862</v>
      </c>
      <c r="AQ36">
        <v>853</v>
      </c>
      <c r="AR36">
        <v>856</v>
      </c>
      <c r="AS36">
        <v>850</v>
      </c>
      <c r="AT36">
        <v>827</v>
      </c>
      <c r="AU36">
        <v>847</v>
      </c>
      <c r="AV36">
        <v>873</v>
      </c>
      <c r="AW36">
        <v>868</v>
      </c>
      <c r="AX36">
        <v>837</v>
      </c>
      <c r="AY36">
        <v>856</v>
      </c>
      <c r="AZ36">
        <v>835</v>
      </c>
      <c r="BA36">
        <v>849</v>
      </c>
      <c r="BB36">
        <v>841</v>
      </c>
      <c r="BC36">
        <v>876</v>
      </c>
    </row>
    <row r="37" spans="1:55" x14ac:dyDescent="0.3">
      <c r="A37">
        <v>2044</v>
      </c>
      <c r="B37">
        <v>854</v>
      </c>
      <c r="C37">
        <v>856</v>
      </c>
      <c r="D37">
        <v>840</v>
      </c>
      <c r="E37">
        <v>864</v>
      </c>
      <c r="F37">
        <v>847</v>
      </c>
      <c r="G37">
        <v>905</v>
      </c>
      <c r="H37">
        <v>907</v>
      </c>
      <c r="I37">
        <v>907</v>
      </c>
      <c r="J37">
        <v>904</v>
      </c>
      <c r="K37">
        <v>913</v>
      </c>
      <c r="L37">
        <v>913</v>
      </c>
      <c r="M37">
        <v>909</v>
      </c>
      <c r="N37">
        <v>910</v>
      </c>
      <c r="O37">
        <v>913</v>
      </c>
      <c r="P37">
        <v>912</v>
      </c>
      <c r="Q37">
        <v>910</v>
      </c>
      <c r="R37">
        <v>899</v>
      </c>
      <c r="S37">
        <v>906</v>
      </c>
      <c r="T37">
        <v>895</v>
      </c>
      <c r="U37">
        <v>900</v>
      </c>
      <c r="V37">
        <v>912</v>
      </c>
      <c r="W37">
        <v>912</v>
      </c>
      <c r="X37">
        <v>912</v>
      </c>
      <c r="Y37">
        <v>911</v>
      </c>
      <c r="Z37">
        <v>909</v>
      </c>
      <c r="AA37">
        <v>914</v>
      </c>
      <c r="AB37">
        <v>910</v>
      </c>
      <c r="AC37">
        <v>916</v>
      </c>
      <c r="AD37">
        <v>915</v>
      </c>
      <c r="AE37">
        <v>916</v>
      </c>
      <c r="AF37">
        <v>917</v>
      </c>
      <c r="AG37">
        <v>919</v>
      </c>
      <c r="AH37">
        <v>921</v>
      </c>
      <c r="AI37">
        <v>921</v>
      </c>
      <c r="AJ37">
        <v>922</v>
      </c>
      <c r="AK37">
        <v>922</v>
      </c>
      <c r="AL37">
        <v>916</v>
      </c>
      <c r="AM37">
        <v>921</v>
      </c>
      <c r="AN37">
        <v>919</v>
      </c>
      <c r="AO37">
        <v>919</v>
      </c>
      <c r="AP37">
        <v>872</v>
      </c>
      <c r="AQ37">
        <v>861</v>
      </c>
      <c r="AR37">
        <v>862</v>
      </c>
      <c r="AS37">
        <v>856</v>
      </c>
      <c r="AT37">
        <v>833</v>
      </c>
      <c r="AU37">
        <v>854</v>
      </c>
      <c r="AV37">
        <v>881</v>
      </c>
      <c r="AW37">
        <v>873</v>
      </c>
      <c r="AX37">
        <v>845</v>
      </c>
      <c r="AY37">
        <v>860</v>
      </c>
      <c r="AZ37">
        <v>843</v>
      </c>
      <c r="BA37">
        <v>854</v>
      </c>
      <c r="BB37">
        <v>850</v>
      </c>
      <c r="BC37">
        <v>877</v>
      </c>
    </row>
    <row r="38" spans="1:55" x14ac:dyDescent="0.3">
      <c r="A38">
        <v>2045</v>
      </c>
      <c r="B38">
        <v>861</v>
      </c>
      <c r="C38">
        <v>861</v>
      </c>
      <c r="D38">
        <v>846</v>
      </c>
      <c r="E38">
        <v>871</v>
      </c>
      <c r="F38">
        <v>853</v>
      </c>
      <c r="G38">
        <v>906</v>
      </c>
      <c r="H38">
        <v>908</v>
      </c>
      <c r="I38">
        <v>909</v>
      </c>
      <c r="J38">
        <v>905</v>
      </c>
      <c r="K38">
        <v>913</v>
      </c>
      <c r="L38">
        <v>914</v>
      </c>
      <c r="M38">
        <v>911</v>
      </c>
      <c r="N38">
        <v>913</v>
      </c>
      <c r="O38">
        <v>913</v>
      </c>
      <c r="P38">
        <v>913</v>
      </c>
      <c r="Q38">
        <v>911</v>
      </c>
      <c r="R38">
        <v>899</v>
      </c>
      <c r="S38">
        <v>908</v>
      </c>
      <c r="T38">
        <v>896</v>
      </c>
      <c r="U38">
        <v>901</v>
      </c>
      <c r="V38">
        <v>913</v>
      </c>
      <c r="W38">
        <v>912</v>
      </c>
      <c r="X38">
        <v>914</v>
      </c>
      <c r="Y38">
        <v>911</v>
      </c>
      <c r="Z38">
        <v>910</v>
      </c>
      <c r="AA38">
        <v>914</v>
      </c>
      <c r="AB38">
        <v>912</v>
      </c>
      <c r="AC38">
        <v>916</v>
      </c>
      <c r="AD38">
        <v>915</v>
      </c>
      <c r="AE38">
        <v>916</v>
      </c>
      <c r="AF38">
        <v>917</v>
      </c>
      <c r="AG38">
        <v>919</v>
      </c>
      <c r="AH38">
        <v>921</v>
      </c>
      <c r="AI38">
        <v>921</v>
      </c>
      <c r="AJ38">
        <v>922</v>
      </c>
      <c r="AK38">
        <v>922</v>
      </c>
      <c r="AL38">
        <v>918</v>
      </c>
      <c r="AM38">
        <v>921</v>
      </c>
      <c r="AN38">
        <v>919</v>
      </c>
      <c r="AO38">
        <v>919</v>
      </c>
      <c r="AP38">
        <v>875</v>
      </c>
      <c r="AQ38">
        <v>865</v>
      </c>
      <c r="AR38">
        <v>864</v>
      </c>
      <c r="AS38">
        <v>866</v>
      </c>
      <c r="AT38">
        <v>838</v>
      </c>
      <c r="AU38">
        <v>860</v>
      </c>
      <c r="AV38">
        <v>881</v>
      </c>
      <c r="AW38">
        <v>874</v>
      </c>
      <c r="AX38">
        <v>852</v>
      </c>
      <c r="AY38">
        <v>870</v>
      </c>
      <c r="AZ38">
        <v>850</v>
      </c>
      <c r="BA38">
        <v>861</v>
      </c>
      <c r="BB38">
        <v>863</v>
      </c>
      <c r="BC38">
        <v>883</v>
      </c>
    </row>
    <row r="39" spans="1:55" x14ac:dyDescent="0.3">
      <c r="A39">
        <v>2046</v>
      </c>
      <c r="B39">
        <v>863</v>
      </c>
      <c r="C39">
        <v>866</v>
      </c>
      <c r="D39">
        <v>852</v>
      </c>
      <c r="E39">
        <v>876</v>
      </c>
      <c r="F39">
        <v>861</v>
      </c>
      <c r="G39">
        <v>906</v>
      </c>
      <c r="H39">
        <v>909</v>
      </c>
      <c r="I39">
        <v>910</v>
      </c>
      <c r="J39">
        <v>905</v>
      </c>
      <c r="K39">
        <v>913</v>
      </c>
      <c r="L39">
        <v>914</v>
      </c>
      <c r="M39">
        <v>911</v>
      </c>
      <c r="N39">
        <v>913</v>
      </c>
      <c r="O39">
        <v>914</v>
      </c>
      <c r="P39">
        <v>913</v>
      </c>
      <c r="Q39">
        <v>914</v>
      </c>
      <c r="R39">
        <v>903</v>
      </c>
      <c r="S39">
        <v>908</v>
      </c>
      <c r="T39">
        <v>899</v>
      </c>
      <c r="U39">
        <v>906</v>
      </c>
      <c r="V39">
        <v>913</v>
      </c>
      <c r="W39">
        <v>912</v>
      </c>
      <c r="X39">
        <v>914</v>
      </c>
      <c r="Y39">
        <v>912</v>
      </c>
      <c r="Z39">
        <v>910</v>
      </c>
      <c r="AA39">
        <v>914</v>
      </c>
      <c r="AB39">
        <v>912</v>
      </c>
      <c r="AC39">
        <v>916</v>
      </c>
      <c r="AD39">
        <v>915</v>
      </c>
      <c r="AE39">
        <v>916</v>
      </c>
      <c r="AF39">
        <v>917</v>
      </c>
      <c r="AG39">
        <v>919</v>
      </c>
      <c r="AH39">
        <v>921</v>
      </c>
      <c r="AI39">
        <v>921</v>
      </c>
      <c r="AJ39">
        <v>922</v>
      </c>
      <c r="AK39">
        <v>922</v>
      </c>
      <c r="AL39">
        <v>919</v>
      </c>
      <c r="AM39">
        <v>922</v>
      </c>
      <c r="AN39">
        <v>919</v>
      </c>
      <c r="AO39">
        <v>919</v>
      </c>
      <c r="AP39">
        <v>877</v>
      </c>
      <c r="AQ39">
        <v>871</v>
      </c>
      <c r="AR39">
        <v>868</v>
      </c>
      <c r="AS39">
        <v>872</v>
      </c>
      <c r="AT39">
        <v>850</v>
      </c>
      <c r="AU39">
        <v>864</v>
      </c>
      <c r="AV39">
        <v>882</v>
      </c>
      <c r="AW39">
        <v>878</v>
      </c>
      <c r="AX39">
        <v>861</v>
      </c>
      <c r="AY39">
        <v>875</v>
      </c>
      <c r="AZ39">
        <v>857</v>
      </c>
      <c r="BA39">
        <v>868</v>
      </c>
      <c r="BB39">
        <v>867</v>
      </c>
      <c r="BC39">
        <v>887</v>
      </c>
    </row>
    <row r="40" spans="1:55" x14ac:dyDescent="0.3">
      <c r="A40">
        <v>2047</v>
      </c>
      <c r="B40">
        <v>868</v>
      </c>
      <c r="C40">
        <v>869</v>
      </c>
      <c r="D40">
        <v>861</v>
      </c>
      <c r="E40">
        <v>877</v>
      </c>
      <c r="F40">
        <v>864</v>
      </c>
      <c r="G40">
        <v>907</v>
      </c>
      <c r="H40">
        <v>910</v>
      </c>
      <c r="I40">
        <v>911</v>
      </c>
      <c r="J40">
        <v>906</v>
      </c>
      <c r="K40">
        <v>914</v>
      </c>
      <c r="L40">
        <v>914</v>
      </c>
      <c r="M40">
        <v>912</v>
      </c>
      <c r="N40">
        <v>913</v>
      </c>
      <c r="O40">
        <v>915</v>
      </c>
      <c r="P40">
        <v>914</v>
      </c>
      <c r="Q40">
        <v>914</v>
      </c>
      <c r="R40">
        <v>903</v>
      </c>
      <c r="S40">
        <v>908</v>
      </c>
      <c r="T40">
        <v>902</v>
      </c>
      <c r="U40">
        <v>908</v>
      </c>
      <c r="V40">
        <v>913</v>
      </c>
      <c r="W40">
        <v>912</v>
      </c>
      <c r="X40">
        <v>914</v>
      </c>
      <c r="Y40">
        <v>913</v>
      </c>
      <c r="Z40">
        <v>911</v>
      </c>
      <c r="AA40">
        <v>914</v>
      </c>
      <c r="AB40">
        <v>912</v>
      </c>
      <c r="AC40">
        <v>916</v>
      </c>
      <c r="AD40">
        <v>916</v>
      </c>
      <c r="AE40">
        <v>916</v>
      </c>
      <c r="AF40">
        <v>917</v>
      </c>
      <c r="AG40">
        <v>919</v>
      </c>
      <c r="AH40">
        <v>922</v>
      </c>
      <c r="AI40">
        <v>921</v>
      </c>
      <c r="AJ40">
        <v>922</v>
      </c>
      <c r="AK40">
        <v>922</v>
      </c>
      <c r="AL40">
        <v>919</v>
      </c>
      <c r="AM40">
        <v>922</v>
      </c>
      <c r="AN40">
        <v>919</v>
      </c>
      <c r="AO40">
        <v>919</v>
      </c>
      <c r="AP40">
        <v>879</v>
      </c>
      <c r="AQ40">
        <v>876</v>
      </c>
      <c r="AR40">
        <v>875</v>
      </c>
      <c r="AS40">
        <v>879</v>
      </c>
      <c r="AT40">
        <v>855</v>
      </c>
      <c r="AU40">
        <v>874</v>
      </c>
      <c r="AV40">
        <v>886</v>
      </c>
      <c r="AW40">
        <v>881</v>
      </c>
      <c r="AX40">
        <v>867</v>
      </c>
      <c r="AY40">
        <v>881</v>
      </c>
      <c r="AZ40">
        <v>861</v>
      </c>
      <c r="BA40">
        <v>870</v>
      </c>
      <c r="BB40">
        <v>872</v>
      </c>
      <c r="BC40">
        <v>889</v>
      </c>
    </row>
    <row r="41" spans="1:55" x14ac:dyDescent="0.3">
      <c r="A41">
        <v>2048</v>
      </c>
      <c r="B41">
        <v>872</v>
      </c>
      <c r="C41">
        <v>872</v>
      </c>
      <c r="D41">
        <v>867</v>
      </c>
      <c r="E41">
        <v>880</v>
      </c>
      <c r="F41">
        <v>870</v>
      </c>
      <c r="G41">
        <v>909</v>
      </c>
      <c r="H41">
        <v>911</v>
      </c>
      <c r="I41">
        <v>911</v>
      </c>
      <c r="J41">
        <v>906</v>
      </c>
      <c r="K41">
        <v>914</v>
      </c>
      <c r="L41">
        <v>914</v>
      </c>
      <c r="M41">
        <v>913</v>
      </c>
      <c r="N41">
        <v>915</v>
      </c>
      <c r="O41">
        <v>915</v>
      </c>
      <c r="P41">
        <v>915</v>
      </c>
      <c r="Q41">
        <v>914</v>
      </c>
      <c r="R41">
        <v>905</v>
      </c>
      <c r="S41">
        <v>910</v>
      </c>
      <c r="T41">
        <v>904</v>
      </c>
      <c r="U41">
        <v>911</v>
      </c>
      <c r="V41">
        <v>913</v>
      </c>
      <c r="W41">
        <v>913</v>
      </c>
      <c r="X41">
        <v>914</v>
      </c>
      <c r="Y41">
        <v>913</v>
      </c>
      <c r="Z41">
        <v>911</v>
      </c>
      <c r="AA41">
        <v>914</v>
      </c>
      <c r="AB41">
        <v>912</v>
      </c>
      <c r="AC41">
        <v>916</v>
      </c>
      <c r="AD41">
        <v>916</v>
      </c>
      <c r="AE41">
        <v>917</v>
      </c>
      <c r="AF41">
        <v>919</v>
      </c>
      <c r="AG41">
        <v>920</v>
      </c>
      <c r="AH41">
        <v>922</v>
      </c>
      <c r="AI41">
        <v>921</v>
      </c>
      <c r="AJ41">
        <v>922</v>
      </c>
      <c r="AK41">
        <v>922</v>
      </c>
      <c r="AL41">
        <v>919</v>
      </c>
      <c r="AM41">
        <v>922</v>
      </c>
      <c r="AN41">
        <v>919</v>
      </c>
      <c r="AO41">
        <v>919</v>
      </c>
      <c r="AP41">
        <v>882</v>
      </c>
      <c r="AQ41">
        <v>882</v>
      </c>
      <c r="AR41">
        <v>879</v>
      </c>
      <c r="AS41">
        <v>881</v>
      </c>
      <c r="AT41">
        <v>861</v>
      </c>
      <c r="AU41">
        <v>876</v>
      </c>
      <c r="AV41">
        <v>890</v>
      </c>
      <c r="AW41">
        <v>886</v>
      </c>
      <c r="AX41">
        <v>871</v>
      </c>
      <c r="AY41">
        <v>885</v>
      </c>
      <c r="AZ41">
        <v>863</v>
      </c>
      <c r="BA41">
        <v>876</v>
      </c>
      <c r="BB41">
        <v>876</v>
      </c>
      <c r="BC41">
        <v>891</v>
      </c>
    </row>
    <row r="42" spans="1:55" x14ac:dyDescent="0.3">
      <c r="A42">
        <v>2049</v>
      </c>
      <c r="B42">
        <v>874</v>
      </c>
      <c r="C42">
        <v>874</v>
      </c>
      <c r="D42">
        <v>870</v>
      </c>
      <c r="E42">
        <v>882</v>
      </c>
      <c r="F42">
        <v>874</v>
      </c>
      <c r="G42">
        <v>910</v>
      </c>
      <c r="H42">
        <v>912</v>
      </c>
      <c r="I42">
        <v>912</v>
      </c>
      <c r="J42">
        <v>907</v>
      </c>
      <c r="K42">
        <v>916</v>
      </c>
      <c r="L42">
        <v>914</v>
      </c>
      <c r="M42">
        <v>914</v>
      </c>
      <c r="N42">
        <v>916</v>
      </c>
      <c r="O42">
        <v>915</v>
      </c>
      <c r="P42">
        <v>916</v>
      </c>
      <c r="Q42">
        <v>915</v>
      </c>
      <c r="R42">
        <v>907</v>
      </c>
      <c r="S42">
        <v>910</v>
      </c>
      <c r="T42">
        <v>906</v>
      </c>
      <c r="U42">
        <v>914</v>
      </c>
      <c r="V42">
        <v>914</v>
      </c>
      <c r="W42">
        <v>915</v>
      </c>
      <c r="X42">
        <v>914</v>
      </c>
      <c r="Y42">
        <v>913</v>
      </c>
      <c r="Z42">
        <v>911</v>
      </c>
      <c r="AA42">
        <v>914</v>
      </c>
      <c r="AB42">
        <v>912</v>
      </c>
      <c r="AC42">
        <v>916</v>
      </c>
      <c r="AD42">
        <v>916</v>
      </c>
      <c r="AE42">
        <v>917</v>
      </c>
      <c r="AF42">
        <v>919</v>
      </c>
      <c r="AG42">
        <v>920</v>
      </c>
      <c r="AH42">
        <v>922</v>
      </c>
      <c r="AI42">
        <v>921</v>
      </c>
      <c r="AJ42">
        <v>922</v>
      </c>
      <c r="AK42">
        <v>922</v>
      </c>
      <c r="AL42">
        <v>920</v>
      </c>
      <c r="AM42">
        <v>922</v>
      </c>
      <c r="AN42">
        <v>919</v>
      </c>
      <c r="AO42">
        <v>919</v>
      </c>
      <c r="AP42">
        <v>884</v>
      </c>
      <c r="AQ42">
        <v>884</v>
      </c>
      <c r="AR42">
        <v>884</v>
      </c>
      <c r="AS42">
        <v>885</v>
      </c>
      <c r="AT42">
        <v>866</v>
      </c>
      <c r="AU42">
        <v>878</v>
      </c>
      <c r="AV42">
        <v>892</v>
      </c>
      <c r="AW42">
        <v>888</v>
      </c>
      <c r="AX42">
        <v>879</v>
      </c>
      <c r="AY42">
        <v>886</v>
      </c>
      <c r="AZ42">
        <v>869</v>
      </c>
      <c r="BA42">
        <v>879</v>
      </c>
      <c r="BB42">
        <v>885</v>
      </c>
      <c r="BC42">
        <v>891</v>
      </c>
    </row>
    <row r="43" spans="1:55" x14ac:dyDescent="0.3">
      <c r="A43">
        <v>2050</v>
      </c>
      <c r="B43">
        <v>877</v>
      </c>
      <c r="C43">
        <v>881</v>
      </c>
      <c r="D43">
        <v>875</v>
      </c>
      <c r="E43">
        <v>885</v>
      </c>
      <c r="F43">
        <v>879</v>
      </c>
      <c r="G43">
        <v>911</v>
      </c>
      <c r="H43">
        <v>913</v>
      </c>
      <c r="I43">
        <v>913</v>
      </c>
      <c r="J43">
        <v>908</v>
      </c>
      <c r="K43">
        <v>916</v>
      </c>
      <c r="L43">
        <v>915</v>
      </c>
      <c r="M43">
        <v>915</v>
      </c>
      <c r="N43">
        <v>917</v>
      </c>
      <c r="O43">
        <v>915</v>
      </c>
      <c r="P43">
        <v>917</v>
      </c>
      <c r="Q43">
        <v>915</v>
      </c>
      <c r="R43">
        <v>908</v>
      </c>
      <c r="S43">
        <v>911</v>
      </c>
      <c r="T43">
        <v>907</v>
      </c>
      <c r="U43">
        <v>914</v>
      </c>
      <c r="V43">
        <v>914</v>
      </c>
      <c r="W43">
        <v>915</v>
      </c>
      <c r="X43">
        <v>914</v>
      </c>
      <c r="Y43">
        <v>913</v>
      </c>
      <c r="Z43">
        <v>912</v>
      </c>
      <c r="AA43">
        <v>914</v>
      </c>
      <c r="AB43">
        <v>913</v>
      </c>
      <c r="AC43">
        <v>916</v>
      </c>
      <c r="AD43">
        <v>916</v>
      </c>
      <c r="AE43">
        <v>918</v>
      </c>
      <c r="AF43">
        <v>920</v>
      </c>
      <c r="AG43">
        <v>920</v>
      </c>
      <c r="AH43">
        <v>922</v>
      </c>
      <c r="AI43">
        <v>921</v>
      </c>
      <c r="AJ43">
        <v>922</v>
      </c>
      <c r="AK43">
        <v>922</v>
      </c>
      <c r="AL43">
        <v>920</v>
      </c>
      <c r="AM43">
        <v>922</v>
      </c>
      <c r="AN43">
        <v>919</v>
      </c>
      <c r="AO43">
        <v>920</v>
      </c>
      <c r="AP43">
        <v>884</v>
      </c>
      <c r="AQ43">
        <v>886</v>
      </c>
      <c r="AR43">
        <v>889</v>
      </c>
      <c r="AS43">
        <v>888</v>
      </c>
      <c r="AT43">
        <v>872</v>
      </c>
      <c r="AU43">
        <v>880</v>
      </c>
      <c r="AV43">
        <v>895</v>
      </c>
      <c r="AW43">
        <v>892</v>
      </c>
      <c r="AX43">
        <v>882</v>
      </c>
      <c r="AY43">
        <v>888</v>
      </c>
      <c r="AZ43">
        <v>872</v>
      </c>
      <c r="BA43">
        <v>885</v>
      </c>
      <c r="BB43">
        <v>885</v>
      </c>
      <c r="BC43">
        <v>893</v>
      </c>
    </row>
    <row r="48" spans="1:55" x14ac:dyDescent="0.3">
      <c r="A48" t="s">
        <v>70</v>
      </c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</row>
    <row r="49" spans="1:55" x14ac:dyDescent="0.3">
      <c r="A49" t="s">
        <v>71</v>
      </c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</row>
    <row r="50" spans="1:55" x14ac:dyDescent="0.3">
      <c r="A50" t="s">
        <v>72</v>
      </c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</row>
    <row r="51" spans="1:55" x14ac:dyDescent="0.3">
      <c r="A51" t="s">
        <v>73</v>
      </c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</row>
    <row r="52" spans="1:55" x14ac:dyDescent="0.3">
      <c r="A52" t="s">
        <v>74</v>
      </c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</row>
    <row r="53" spans="1:55" x14ac:dyDescent="0.3">
      <c r="A53" t="s">
        <v>75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B53" t="s">
        <v>14</v>
      </c>
      <c r="AC53" t="s">
        <v>14</v>
      </c>
      <c r="AD53" t="s">
        <v>14</v>
      </c>
      <c r="AE53" t="s">
        <v>14</v>
      </c>
      <c r="AF53" t="s">
        <v>14</v>
      </c>
      <c r="AG53" t="s">
        <v>14</v>
      </c>
      <c r="AH53" t="s">
        <v>14</v>
      </c>
      <c r="AI53" t="s">
        <v>14</v>
      </c>
      <c r="AJ53" t="s">
        <v>14</v>
      </c>
      <c r="AK53" t="s">
        <v>14</v>
      </c>
      <c r="AL53" t="s">
        <v>14</v>
      </c>
      <c r="AM53" t="s">
        <v>14</v>
      </c>
      <c r="AN53" t="s">
        <v>14</v>
      </c>
      <c r="AO53" t="s">
        <v>14</v>
      </c>
      <c r="AP53" t="s">
        <v>14</v>
      </c>
      <c r="AQ53" t="s">
        <v>14</v>
      </c>
      <c r="AR53" t="s">
        <v>14</v>
      </c>
      <c r="AS53" t="s">
        <v>14</v>
      </c>
      <c r="AT53" t="s">
        <v>14</v>
      </c>
      <c r="AU53" t="s">
        <v>14</v>
      </c>
      <c r="AV53" t="s">
        <v>14</v>
      </c>
      <c r="AW53" t="s">
        <v>14</v>
      </c>
      <c r="AX53" t="s">
        <v>14</v>
      </c>
      <c r="AY53" t="s">
        <v>14</v>
      </c>
      <c r="AZ53" t="s">
        <v>14</v>
      </c>
      <c r="BA53" t="s">
        <v>14</v>
      </c>
      <c r="BB53" t="s">
        <v>14</v>
      </c>
      <c r="BC53" t="s">
        <v>14</v>
      </c>
    </row>
    <row r="54" spans="1:55" x14ac:dyDescent="0.3">
      <c r="A54" t="s">
        <v>76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</row>
    <row r="55" spans="1:55" x14ac:dyDescent="0.3">
      <c r="A55" t="s">
        <v>77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</row>
    <row r="56" spans="1:55" x14ac:dyDescent="0.3">
      <c r="A56" t="s">
        <v>78</v>
      </c>
      <c r="B56">
        <v>2</v>
      </c>
      <c r="C56">
        <v>2</v>
      </c>
      <c r="D56">
        <v>2</v>
      </c>
      <c r="E56">
        <v>2</v>
      </c>
      <c r="F56">
        <v>2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2</v>
      </c>
      <c r="R56">
        <v>2</v>
      </c>
      <c r="S56">
        <v>2</v>
      </c>
      <c r="T56">
        <v>2</v>
      </c>
      <c r="U56">
        <v>2</v>
      </c>
      <c r="V56">
        <v>4</v>
      </c>
      <c r="W56">
        <v>4</v>
      </c>
      <c r="X56">
        <v>4</v>
      </c>
      <c r="Y56">
        <v>4</v>
      </c>
      <c r="Z56">
        <v>4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</row>
    <row r="57" spans="1:55" x14ac:dyDescent="0.3">
      <c r="A57" t="s">
        <v>79</v>
      </c>
      <c r="B57">
        <v>4</v>
      </c>
      <c r="C57">
        <v>4</v>
      </c>
      <c r="D57">
        <v>4</v>
      </c>
      <c r="E57">
        <v>4</v>
      </c>
      <c r="F57">
        <v>4</v>
      </c>
      <c r="G57">
        <v>2</v>
      </c>
      <c r="H57">
        <v>2</v>
      </c>
      <c r="I57">
        <v>2</v>
      </c>
      <c r="J57">
        <v>2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</row>
    <row r="58" spans="1:55" x14ac:dyDescent="0.3">
      <c r="A58" t="s">
        <v>80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30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30</v>
      </c>
      <c r="AO58">
        <v>30</v>
      </c>
      <c r="AP58">
        <v>30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</row>
    <row r="59" spans="1:55" x14ac:dyDescent="0.3">
      <c r="A59" t="s">
        <v>81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</row>
    <row r="60" spans="1:55" x14ac:dyDescent="0.3">
      <c r="A60" t="s">
        <v>82</v>
      </c>
      <c r="B60" t="s">
        <v>15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15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15</v>
      </c>
      <c r="AG60" t="s">
        <v>15</v>
      </c>
      <c r="AH60" t="s">
        <v>15</v>
      </c>
      <c r="AI60" t="s">
        <v>15</v>
      </c>
      <c r="AJ60" t="s">
        <v>15</v>
      </c>
      <c r="AK60" t="s">
        <v>69</v>
      </c>
      <c r="AL60" t="s">
        <v>69</v>
      </c>
      <c r="AM60" t="s">
        <v>69</v>
      </c>
      <c r="AN60" t="s">
        <v>69</v>
      </c>
      <c r="AO60" t="s">
        <v>69</v>
      </c>
      <c r="AP60" t="s">
        <v>15</v>
      </c>
      <c r="AQ60" t="s">
        <v>15</v>
      </c>
      <c r="AR60" t="s">
        <v>15</v>
      </c>
      <c r="AS60" t="s">
        <v>15</v>
      </c>
      <c r="AT60" t="s">
        <v>15</v>
      </c>
      <c r="AU60" t="s">
        <v>15</v>
      </c>
      <c r="AV60" t="s">
        <v>15</v>
      </c>
      <c r="AW60" t="s">
        <v>15</v>
      </c>
      <c r="AX60" t="s">
        <v>15</v>
      </c>
      <c r="AY60" t="s">
        <v>15</v>
      </c>
      <c r="AZ60" t="s">
        <v>15</v>
      </c>
      <c r="BA60" t="s">
        <v>15</v>
      </c>
      <c r="BB60" t="s">
        <v>15</v>
      </c>
      <c r="BC60" t="s">
        <v>15</v>
      </c>
    </row>
    <row r="62" spans="1:55" x14ac:dyDescent="0.3">
      <c r="A62" t="s">
        <v>93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90</v>
      </c>
      <c r="AG62" t="s">
        <v>90</v>
      </c>
      <c r="AH62" t="s">
        <v>90</v>
      </c>
      <c r="AI62" t="s">
        <v>90</v>
      </c>
      <c r="AJ62" t="s">
        <v>90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</row>
    <row r="63" spans="1:55" x14ac:dyDescent="0.3">
      <c r="A63" t="s">
        <v>83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9</v>
      </c>
      <c r="AQ63">
        <v>9</v>
      </c>
      <c r="AR63">
        <v>9</v>
      </c>
      <c r="AS63">
        <v>9</v>
      </c>
      <c r="AT63">
        <v>9</v>
      </c>
    </row>
    <row r="66" spans="1:10" x14ac:dyDescent="0.3">
      <c r="A66" t="str" cm="1">
        <f t="array" ref="A66:J66">_xlfn.UNIQUE(A62:AT62,TRUE,FALSE)</f>
        <v>scenName</v>
      </c>
      <c r="B66" t="str">
        <v>base</v>
      </c>
      <c r="C66" t="str">
        <v>very high contagion</v>
      </c>
      <c r="D66" t="str">
        <v>very high ind lr and high col lr</v>
      </c>
      <c r="E66" t="str">
        <v>very high clr</v>
      </c>
      <c r="F66" t="str">
        <v>verhy high clr and high ilr</v>
      </c>
      <c r="G66" t="str">
        <v>very high both lrs</v>
      </c>
      <c r="H66" t="str">
        <v>verhy high lrs and high max projects</v>
      </c>
      <c r="I66" t="str">
        <v>verhy high lrs and high max projects and hybrid</v>
      </c>
      <c r="J66" t="str">
        <v>base_network update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BC63"/>
  <sheetViews>
    <sheetView topLeftCell="R22" workbookViewId="0">
      <selection activeCell="AF63" sqref="AF63:AJ63"/>
    </sheetView>
  </sheetViews>
  <sheetFormatPr defaultRowHeight="14.4" x14ac:dyDescent="0.3"/>
  <sheetData>
    <row r="1" spans="1:55" x14ac:dyDescent="0.3">
      <c r="A1" t="s">
        <v>0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</row>
    <row r="2" spans="1:55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</row>
    <row r="5" spans="1:55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</row>
    <row r="6" spans="1:55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</row>
    <row r="7" spans="1:55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</row>
    <row r="8" spans="1:55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</row>
    <row r="9" spans="1:55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</row>
    <row r="10" spans="1:55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</row>
    <row r="11" spans="1:55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</row>
    <row r="12" spans="1:55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</row>
    <row r="13" spans="1:55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</row>
    <row r="14" spans="1:55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</row>
    <row r="15" spans="1:55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</row>
    <row r="16" spans="1:55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</row>
    <row r="17" spans="1:55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</row>
    <row r="18" spans="1:55" x14ac:dyDescent="0.3">
      <c r="A18">
        <v>2025</v>
      </c>
      <c r="B18">
        <v>1562</v>
      </c>
      <c r="C18">
        <v>1570</v>
      </c>
      <c r="D18">
        <v>1565</v>
      </c>
      <c r="E18">
        <v>1600</v>
      </c>
      <c r="F18">
        <v>1570</v>
      </c>
      <c r="G18">
        <v>1573</v>
      </c>
      <c r="H18">
        <v>1576</v>
      </c>
      <c r="I18">
        <v>1547</v>
      </c>
      <c r="J18">
        <v>1594</v>
      </c>
      <c r="K18">
        <v>1577</v>
      </c>
      <c r="L18">
        <v>1570</v>
      </c>
      <c r="M18">
        <v>1591</v>
      </c>
      <c r="N18">
        <v>1589</v>
      </c>
      <c r="O18">
        <v>1582</v>
      </c>
      <c r="P18">
        <v>1557</v>
      </c>
      <c r="Q18">
        <v>1621</v>
      </c>
      <c r="R18">
        <v>1559</v>
      </c>
      <c r="S18">
        <v>1580</v>
      </c>
      <c r="T18">
        <v>1569</v>
      </c>
      <c r="U18">
        <v>1569</v>
      </c>
      <c r="V18">
        <v>1564</v>
      </c>
      <c r="W18">
        <v>1564</v>
      </c>
      <c r="X18">
        <v>1564</v>
      </c>
      <c r="Y18">
        <v>1599</v>
      </c>
      <c r="Z18">
        <v>1553</v>
      </c>
      <c r="AA18">
        <v>1575</v>
      </c>
      <c r="AB18">
        <v>1585</v>
      </c>
      <c r="AC18">
        <v>1581</v>
      </c>
      <c r="AD18">
        <v>1578</v>
      </c>
      <c r="AE18">
        <v>1547</v>
      </c>
      <c r="AF18">
        <v>1552</v>
      </c>
      <c r="AG18">
        <v>1576</v>
      </c>
      <c r="AH18">
        <v>1593</v>
      </c>
      <c r="AI18">
        <v>1560</v>
      </c>
      <c r="AJ18">
        <v>1555</v>
      </c>
      <c r="AK18">
        <v>1614</v>
      </c>
      <c r="AL18">
        <v>1574</v>
      </c>
      <c r="AM18">
        <v>1594</v>
      </c>
      <c r="AN18">
        <v>1574</v>
      </c>
      <c r="AO18">
        <v>1568</v>
      </c>
      <c r="AP18">
        <v>1578</v>
      </c>
      <c r="AQ18">
        <v>1568</v>
      </c>
      <c r="AR18">
        <v>1593</v>
      </c>
      <c r="AS18">
        <v>1573</v>
      </c>
      <c r="AT18">
        <v>1571</v>
      </c>
      <c r="AU18">
        <v>1551</v>
      </c>
      <c r="AV18">
        <v>1617</v>
      </c>
      <c r="AW18">
        <v>1583</v>
      </c>
      <c r="AX18">
        <v>1562</v>
      </c>
      <c r="AY18">
        <v>1580</v>
      </c>
      <c r="AZ18">
        <v>1546</v>
      </c>
      <c r="BA18">
        <v>1561</v>
      </c>
      <c r="BB18">
        <v>1558</v>
      </c>
      <c r="BC18">
        <v>1603</v>
      </c>
    </row>
    <row r="19" spans="1:55" x14ac:dyDescent="0.3">
      <c r="A19">
        <v>2026</v>
      </c>
      <c r="B19">
        <v>1681</v>
      </c>
      <c r="C19">
        <v>1683</v>
      </c>
      <c r="D19">
        <v>1661</v>
      </c>
      <c r="E19">
        <v>1761</v>
      </c>
      <c r="F19">
        <v>1682</v>
      </c>
      <c r="G19">
        <v>1972</v>
      </c>
      <c r="H19">
        <v>1976</v>
      </c>
      <c r="I19">
        <v>1900</v>
      </c>
      <c r="J19">
        <v>1970</v>
      </c>
      <c r="K19">
        <v>1987</v>
      </c>
      <c r="L19">
        <v>1965</v>
      </c>
      <c r="M19">
        <v>2035</v>
      </c>
      <c r="N19">
        <v>1991</v>
      </c>
      <c r="O19">
        <v>1998</v>
      </c>
      <c r="P19">
        <v>1913</v>
      </c>
      <c r="Q19">
        <v>1899</v>
      </c>
      <c r="R19">
        <v>1686</v>
      </c>
      <c r="S19">
        <v>1773</v>
      </c>
      <c r="T19">
        <v>1706</v>
      </c>
      <c r="U19">
        <v>1728</v>
      </c>
      <c r="V19">
        <v>1843</v>
      </c>
      <c r="W19">
        <v>1840</v>
      </c>
      <c r="X19">
        <v>1819</v>
      </c>
      <c r="Y19">
        <v>1931</v>
      </c>
      <c r="Z19">
        <v>1795</v>
      </c>
      <c r="AA19">
        <v>1977</v>
      </c>
      <c r="AB19">
        <v>1986</v>
      </c>
      <c r="AC19">
        <v>1970</v>
      </c>
      <c r="AD19">
        <v>2008</v>
      </c>
      <c r="AE19">
        <v>1932</v>
      </c>
      <c r="AF19">
        <v>1888</v>
      </c>
      <c r="AG19">
        <v>1952</v>
      </c>
      <c r="AH19">
        <v>1981</v>
      </c>
      <c r="AI19">
        <v>1884</v>
      </c>
      <c r="AJ19">
        <v>1902</v>
      </c>
      <c r="AK19">
        <v>2020</v>
      </c>
      <c r="AL19">
        <v>1919</v>
      </c>
      <c r="AM19">
        <v>1953</v>
      </c>
      <c r="AN19">
        <v>1941</v>
      </c>
      <c r="AO19">
        <v>1908</v>
      </c>
      <c r="AP19">
        <v>1680</v>
      </c>
      <c r="AQ19">
        <v>1664</v>
      </c>
      <c r="AR19">
        <v>1717</v>
      </c>
      <c r="AS19">
        <v>1676</v>
      </c>
      <c r="AT19">
        <v>1655</v>
      </c>
      <c r="AU19">
        <v>1626</v>
      </c>
      <c r="AV19">
        <v>1813</v>
      </c>
      <c r="AW19">
        <v>1749</v>
      </c>
      <c r="AX19">
        <v>1653</v>
      </c>
      <c r="AY19">
        <v>1679</v>
      </c>
      <c r="AZ19">
        <v>1624</v>
      </c>
      <c r="BA19">
        <v>1648</v>
      </c>
      <c r="BB19">
        <v>1657</v>
      </c>
      <c r="BC19">
        <v>1753</v>
      </c>
    </row>
    <row r="20" spans="1:55" x14ac:dyDescent="0.3">
      <c r="A20">
        <v>2027</v>
      </c>
      <c r="B20">
        <v>1800</v>
      </c>
      <c r="C20">
        <v>1800</v>
      </c>
      <c r="D20">
        <v>1751</v>
      </c>
      <c r="E20">
        <v>1911</v>
      </c>
      <c r="F20">
        <v>1776</v>
      </c>
      <c r="G20">
        <v>2302</v>
      </c>
      <c r="H20">
        <v>2294</v>
      </c>
      <c r="I20">
        <v>2275</v>
      </c>
      <c r="J20">
        <v>2292</v>
      </c>
      <c r="K20">
        <v>2361</v>
      </c>
      <c r="L20">
        <v>2415</v>
      </c>
      <c r="M20">
        <v>2508</v>
      </c>
      <c r="N20">
        <v>2423</v>
      </c>
      <c r="O20">
        <v>2458</v>
      </c>
      <c r="P20">
        <v>2330</v>
      </c>
      <c r="Q20">
        <v>2375</v>
      </c>
      <c r="R20">
        <v>1957</v>
      </c>
      <c r="S20">
        <v>2137</v>
      </c>
      <c r="T20">
        <v>2014</v>
      </c>
      <c r="U20">
        <v>2105</v>
      </c>
      <c r="V20">
        <v>2308</v>
      </c>
      <c r="W20">
        <v>2353</v>
      </c>
      <c r="X20">
        <v>2310</v>
      </c>
      <c r="Y20">
        <v>2426</v>
      </c>
      <c r="Z20">
        <v>2260</v>
      </c>
      <c r="AA20">
        <v>2529</v>
      </c>
      <c r="AB20">
        <v>2553</v>
      </c>
      <c r="AC20">
        <v>2517</v>
      </c>
      <c r="AD20">
        <v>2625</v>
      </c>
      <c r="AE20">
        <v>2509</v>
      </c>
      <c r="AF20">
        <v>2588</v>
      </c>
      <c r="AG20">
        <v>2722</v>
      </c>
      <c r="AH20">
        <v>2850</v>
      </c>
      <c r="AI20">
        <v>2580</v>
      </c>
      <c r="AJ20">
        <v>2656</v>
      </c>
      <c r="AK20">
        <v>3002</v>
      </c>
      <c r="AL20">
        <v>2697</v>
      </c>
      <c r="AM20">
        <v>2780</v>
      </c>
      <c r="AN20">
        <v>2724</v>
      </c>
      <c r="AO20">
        <v>2633</v>
      </c>
      <c r="AP20">
        <v>1816</v>
      </c>
      <c r="AQ20">
        <v>1789</v>
      </c>
      <c r="AR20">
        <v>1877</v>
      </c>
      <c r="AS20">
        <v>1782</v>
      </c>
      <c r="AT20">
        <v>1727</v>
      </c>
      <c r="AU20">
        <v>1729</v>
      </c>
      <c r="AV20">
        <v>2057</v>
      </c>
      <c r="AW20">
        <v>1985</v>
      </c>
      <c r="AX20">
        <v>1760</v>
      </c>
      <c r="AY20">
        <v>1815</v>
      </c>
      <c r="AZ20">
        <v>1722</v>
      </c>
      <c r="BA20">
        <v>1741</v>
      </c>
      <c r="BB20">
        <v>1738</v>
      </c>
      <c r="BC20">
        <v>1958</v>
      </c>
    </row>
    <row r="21" spans="1:55" x14ac:dyDescent="0.3">
      <c r="A21">
        <v>2028</v>
      </c>
      <c r="B21">
        <v>2015</v>
      </c>
      <c r="C21">
        <v>2018</v>
      </c>
      <c r="D21">
        <v>1938</v>
      </c>
      <c r="E21">
        <v>2170</v>
      </c>
      <c r="F21">
        <v>1968</v>
      </c>
      <c r="G21">
        <v>2666</v>
      </c>
      <c r="H21">
        <v>2638</v>
      </c>
      <c r="I21">
        <v>2639</v>
      </c>
      <c r="J21">
        <v>2638</v>
      </c>
      <c r="K21">
        <v>2712</v>
      </c>
      <c r="L21">
        <v>2908</v>
      </c>
      <c r="M21">
        <v>2970</v>
      </c>
      <c r="N21">
        <v>2913</v>
      </c>
      <c r="O21">
        <v>2949</v>
      </c>
      <c r="P21">
        <v>2824</v>
      </c>
      <c r="Q21">
        <v>3016</v>
      </c>
      <c r="R21">
        <v>2427</v>
      </c>
      <c r="S21">
        <v>2743</v>
      </c>
      <c r="T21">
        <v>2531</v>
      </c>
      <c r="U21">
        <v>2676</v>
      </c>
      <c r="V21">
        <v>2991</v>
      </c>
      <c r="W21">
        <v>3072</v>
      </c>
      <c r="X21">
        <v>3036</v>
      </c>
      <c r="Y21">
        <v>3110</v>
      </c>
      <c r="Z21">
        <v>2986</v>
      </c>
      <c r="AA21">
        <v>3300</v>
      </c>
      <c r="AB21">
        <v>3370</v>
      </c>
      <c r="AC21">
        <v>3358</v>
      </c>
      <c r="AD21">
        <v>3464</v>
      </c>
      <c r="AE21">
        <v>3370</v>
      </c>
      <c r="AF21">
        <v>4083</v>
      </c>
      <c r="AG21">
        <v>4271</v>
      </c>
      <c r="AH21">
        <v>4665</v>
      </c>
      <c r="AI21">
        <v>4036</v>
      </c>
      <c r="AJ21">
        <v>4189</v>
      </c>
      <c r="AK21">
        <v>4781</v>
      </c>
      <c r="AL21">
        <v>4133</v>
      </c>
      <c r="AM21">
        <v>4372</v>
      </c>
      <c r="AN21">
        <v>4123</v>
      </c>
      <c r="AO21">
        <v>4057</v>
      </c>
      <c r="AP21">
        <v>2027</v>
      </c>
      <c r="AQ21">
        <v>2043</v>
      </c>
      <c r="AR21">
        <v>2137</v>
      </c>
      <c r="AS21">
        <v>2006</v>
      </c>
      <c r="AT21">
        <v>1870</v>
      </c>
      <c r="AU21">
        <v>1924</v>
      </c>
      <c r="AV21">
        <v>2356</v>
      </c>
      <c r="AW21">
        <v>2294</v>
      </c>
      <c r="AX21">
        <v>1980</v>
      </c>
      <c r="AY21">
        <v>2062</v>
      </c>
      <c r="AZ21">
        <v>1901</v>
      </c>
      <c r="BA21">
        <v>1952</v>
      </c>
      <c r="BB21">
        <v>1925</v>
      </c>
      <c r="BC21">
        <v>2247</v>
      </c>
    </row>
    <row r="22" spans="1:55" x14ac:dyDescent="0.3">
      <c r="A22">
        <v>2029</v>
      </c>
      <c r="B22">
        <v>2329</v>
      </c>
      <c r="C22">
        <v>2385</v>
      </c>
      <c r="D22">
        <v>2256</v>
      </c>
      <c r="E22">
        <v>2531</v>
      </c>
      <c r="F22">
        <v>2266</v>
      </c>
      <c r="G22">
        <v>3078</v>
      </c>
      <c r="H22">
        <v>3048</v>
      </c>
      <c r="I22">
        <v>3087</v>
      </c>
      <c r="J22">
        <v>3036</v>
      </c>
      <c r="K22">
        <v>3120</v>
      </c>
      <c r="L22">
        <v>3510</v>
      </c>
      <c r="M22">
        <v>3515</v>
      </c>
      <c r="N22">
        <v>3501</v>
      </c>
      <c r="O22">
        <v>3541</v>
      </c>
      <c r="P22">
        <v>3435</v>
      </c>
      <c r="Q22">
        <v>3761</v>
      </c>
      <c r="R22">
        <v>3096</v>
      </c>
      <c r="S22">
        <v>3543</v>
      </c>
      <c r="T22">
        <v>3264</v>
      </c>
      <c r="U22">
        <v>3461</v>
      </c>
      <c r="V22">
        <v>3912</v>
      </c>
      <c r="W22">
        <v>3942</v>
      </c>
      <c r="X22">
        <v>3936</v>
      </c>
      <c r="Y22">
        <v>4043</v>
      </c>
      <c r="Z22">
        <v>3898</v>
      </c>
      <c r="AA22">
        <v>4273</v>
      </c>
      <c r="AB22">
        <v>4375</v>
      </c>
      <c r="AC22">
        <v>4378</v>
      </c>
      <c r="AD22">
        <v>4409</v>
      </c>
      <c r="AE22">
        <v>4435</v>
      </c>
      <c r="AF22">
        <v>6481</v>
      </c>
      <c r="AG22">
        <v>6752</v>
      </c>
      <c r="AH22">
        <v>7181</v>
      </c>
      <c r="AI22">
        <v>6440</v>
      </c>
      <c r="AJ22">
        <v>6507</v>
      </c>
      <c r="AK22">
        <v>7367</v>
      </c>
      <c r="AL22">
        <v>6421</v>
      </c>
      <c r="AM22">
        <v>6848</v>
      </c>
      <c r="AN22">
        <v>6374</v>
      </c>
      <c r="AO22">
        <v>6506</v>
      </c>
      <c r="AP22">
        <v>2369</v>
      </c>
      <c r="AQ22">
        <v>2390</v>
      </c>
      <c r="AR22">
        <v>2498</v>
      </c>
      <c r="AS22">
        <v>2334</v>
      </c>
      <c r="AT22">
        <v>2095</v>
      </c>
      <c r="AU22">
        <v>2202</v>
      </c>
      <c r="AV22">
        <v>2739</v>
      </c>
      <c r="AW22">
        <v>2664</v>
      </c>
      <c r="AX22">
        <v>2285</v>
      </c>
      <c r="AY22">
        <v>2447</v>
      </c>
      <c r="AZ22">
        <v>2146</v>
      </c>
      <c r="BA22">
        <v>2223</v>
      </c>
      <c r="BB22">
        <v>2248</v>
      </c>
      <c r="BC22">
        <v>2633</v>
      </c>
    </row>
    <row r="23" spans="1:55" x14ac:dyDescent="0.3">
      <c r="A23">
        <v>2030</v>
      </c>
      <c r="B23">
        <v>2603</v>
      </c>
      <c r="C23">
        <v>2661</v>
      </c>
      <c r="D23">
        <v>2543</v>
      </c>
      <c r="E23">
        <v>2779</v>
      </c>
      <c r="F23">
        <v>2562</v>
      </c>
      <c r="G23">
        <v>3358</v>
      </c>
      <c r="H23">
        <v>3364</v>
      </c>
      <c r="I23">
        <v>3458</v>
      </c>
      <c r="J23">
        <v>3319</v>
      </c>
      <c r="K23">
        <v>3433</v>
      </c>
      <c r="L23">
        <v>4050</v>
      </c>
      <c r="M23">
        <v>3991</v>
      </c>
      <c r="N23">
        <v>4065</v>
      </c>
      <c r="O23">
        <v>4080</v>
      </c>
      <c r="P23">
        <v>4002</v>
      </c>
      <c r="Q23">
        <v>4511</v>
      </c>
      <c r="R23">
        <v>3908</v>
      </c>
      <c r="S23">
        <v>4298</v>
      </c>
      <c r="T23">
        <v>4077</v>
      </c>
      <c r="U23">
        <v>4234</v>
      </c>
      <c r="V23">
        <v>4991</v>
      </c>
      <c r="W23">
        <v>4915</v>
      </c>
      <c r="X23">
        <v>4946</v>
      </c>
      <c r="Y23">
        <v>5083</v>
      </c>
      <c r="Z23">
        <v>4825</v>
      </c>
      <c r="AA23">
        <v>5248</v>
      </c>
      <c r="AB23">
        <v>5407</v>
      </c>
      <c r="AC23">
        <v>5359</v>
      </c>
      <c r="AD23">
        <v>5385</v>
      </c>
      <c r="AE23">
        <v>5447</v>
      </c>
      <c r="AF23">
        <v>9948</v>
      </c>
      <c r="AG23">
        <v>10228</v>
      </c>
      <c r="AH23">
        <v>10218</v>
      </c>
      <c r="AI23">
        <v>9795</v>
      </c>
      <c r="AJ23">
        <v>9923</v>
      </c>
      <c r="AK23">
        <v>10351</v>
      </c>
      <c r="AL23">
        <v>9519</v>
      </c>
      <c r="AM23">
        <v>9952</v>
      </c>
      <c r="AN23">
        <v>9454</v>
      </c>
      <c r="AO23">
        <v>9724</v>
      </c>
      <c r="AP23">
        <v>2660</v>
      </c>
      <c r="AQ23">
        <v>2710</v>
      </c>
      <c r="AR23">
        <v>2780</v>
      </c>
      <c r="AS23">
        <v>2630</v>
      </c>
      <c r="AT23">
        <v>2296</v>
      </c>
      <c r="AU23">
        <v>2481</v>
      </c>
      <c r="AV23">
        <v>3019</v>
      </c>
      <c r="AW23">
        <v>2952</v>
      </c>
      <c r="AX23">
        <v>2538</v>
      </c>
      <c r="AY23">
        <v>2759</v>
      </c>
      <c r="AZ23">
        <v>2383</v>
      </c>
      <c r="BA23">
        <v>2488</v>
      </c>
      <c r="BB23">
        <v>2507</v>
      </c>
      <c r="BC23">
        <v>2900</v>
      </c>
    </row>
    <row r="24" spans="1:55" x14ac:dyDescent="0.3">
      <c r="A24">
        <v>2031</v>
      </c>
      <c r="B24">
        <v>2834</v>
      </c>
      <c r="C24">
        <v>2896</v>
      </c>
      <c r="D24">
        <v>2799</v>
      </c>
      <c r="E24">
        <v>2964</v>
      </c>
      <c r="F24">
        <v>2791</v>
      </c>
      <c r="G24">
        <v>3562</v>
      </c>
      <c r="H24">
        <v>3579</v>
      </c>
      <c r="I24">
        <v>3656</v>
      </c>
      <c r="J24">
        <v>3514</v>
      </c>
      <c r="K24">
        <v>3652</v>
      </c>
      <c r="L24">
        <v>4500</v>
      </c>
      <c r="M24">
        <v>4436</v>
      </c>
      <c r="N24">
        <v>4542</v>
      </c>
      <c r="O24">
        <v>4529</v>
      </c>
      <c r="P24">
        <v>4462</v>
      </c>
      <c r="Q24">
        <v>5316</v>
      </c>
      <c r="R24">
        <v>4712</v>
      </c>
      <c r="S24">
        <v>4990</v>
      </c>
      <c r="T24">
        <v>4822</v>
      </c>
      <c r="U24">
        <v>4937</v>
      </c>
      <c r="V24">
        <v>6012</v>
      </c>
      <c r="W24">
        <v>5888</v>
      </c>
      <c r="X24">
        <v>5923</v>
      </c>
      <c r="Y24">
        <v>6035</v>
      </c>
      <c r="Z24">
        <v>5759</v>
      </c>
      <c r="AA24">
        <v>6203</v>
      </c>
      <c r="AB24">
        <v>6379</v>
      </c>
      <c r="AC24">
        <v>6334</v>
      </c>
      <c r="AD24">
        <v>6309</v>
      </c>
      <c r="AE24">
        <v>6317</v>
      </c>
      <c r="AF24">
        <v>13846</v>
      </c>
      <c r="AG24">
        <v>13722</v>
      </c>
      <c r="AH24">
        <v>13909</v>
      </c>
      <c r="AI24">
        <v>13385</v>
      </c>
      <c r="AJ24">
        <v>13545</v>
      </c>
      <c r="AK24">
        <v>13551</v>
      </c>
      <c r="AL24">
        <v>12919</v>
      </c>
      <c r="AM24">
        <v>13034</v>
      </c>
      <c r="AN24">
        <v>12781</v>
      </c>
      <c r="AO24">
        <v>12915</v>
      </c>
      <c r="AP24">
        <v>2936</v>
      </c>
      <c r="AQ24">
        <v>2984</v>
      </c>
      <c r="AR24">
        <v>3073</v>
      </c>
      <c r="AS24">
        <v>2907</v>
      </c>
      <c r="AT24">
        <v>2549</v>
      </c>
      <c r="AU24">
        <v>2744</v>
      </c>
      <c r="AV24">
        <v>3293</v>
      </c>
      <c r="AW24">
        <v>3192</v>
      </c>
      <c r="AX24">
        <v>2781</v>
      </c>
      <c r="AY24">
        <v>3041</v>
      </c>
      <c r="AZ24">
        <v>2641</v>
      </c>
      <c r="BA24">
        <v>2734</v>
      </c>
      <c r="BB24">
        <v>2767</v>
      </c>
      <c r="BC24">
        <v>3138</v>
      </c>
    </row>
    <row r="25" spans="1:55" x14ac:dyDescent="0.3">
      <c r="A25">
        <v>2032</v>
      </c>
      <c r="B25">
        <v>3058</v>
      </c>
      <c r="C25">
        <v>3100</v>
      </c>
      <c r="D25">
        <v>3022</v>
      </c>
      <c r="E25">
        <v>3186</v>
      </c>
      <c r="F25">
        <v>3039</v>
      </c>
      <c r="G25">
        <v>4045</v>
      </c>
      <c r="H25">
        <v>4101</v>
      </c>
      <c r="I25">
        <v>4090</v>
      </c>
      <c r="J25">
        <v>4001</v>
      </c>
      <c r="K25">
        <v>4178</v>
      </c>
      <c r="L25">
        <v>5202</v>
      </c>
      <c r="M25">
        <v>5198</v>
      </c>
      <c r="N25">
        <v>5272</v>
      </c>
      <c r="O25">
        <v>5257</v>
      </c>
      <c r="P25">
        <v>5107</v>
      </c>
      <c r="Q25">
        <v>6170</v>
      </c>
      <c r="R25">
        <v>5332</v>
      </c>
      <c r="S25">
        <v>5622</v>
      </c>
      <c r="T25">
        <v>5386</v>
      </c>
      <c r="U25">
        <v>5554</v>
      </c>
      <c r="V25">
        <v>6885</v>
      </c>
      <c r="W25">
        <v>6737</v>
      </c>
      <c r="X25">
        <v>6754</v>
      </c>
      <c r="Y25">
        <v>6919</v>
      </c>
      <c r="Z25">
        <v>6609</v>
      </c>
      <c r="AA25">
        <v>7198</v>
      </c>
      <c r="AB25">
        <v>7375</v>
      </c>
      <c r="AC25">
        <v>7299</v>
      </c>
      <c r="AD25">
        <v>7273</v>
      </c>
      <c r="AE25">
        <v>7173</v>
      </c>
      <c r="AF25">
        <v>16526</v>
      </c>
      <c r="AG25">
        <v>16043</v>
      </c>
      <c r="AH25">
        <v>16375</v>
      </c>
      <c r="AI25">
        <v>15788</v>
      </c>
      <c r="AJ25">
        <v>15979</v>
      </c>
      <c r="AK25">
        <v>15631</v>
      </c>
      <c r="AL25">
        <v>15234</v>
      </c>
      <c r="AM25">
        <v>15060</v>
      </c>
      <c r="AN25">
        <v>15049</v>
      </c>
      <c r="AO25">
        <v>14946</v>
      </c>
      <c r="AP25">
        <v>3229</v>
      </c>
      <c r="AQ25">
        <v>3253</v>
      </c>
      <c r="AR25">
        <v>3395</v>
      </c>
      <c r="AS25">
        <v>3170</v>
      </c>
      <c r="AT25">
        <v>2792</v>
      </c>
      <c r="AU25">
        <v>3014</v>
      </c>
      <c r="AV25">
        <v>3608</v>
      </c>
      <c r="AW25">
        <v>3500</v>
      </c>
      <c r="AX25">
        <v>3055</v>
      </c>
      <c r="AY25">
        <v>3325</v>
      </c>
      <c r="AZ25">
        <v>2916</v>
      </c>
      <c r="BA25">
        <v>3008</v>
      </c>
      <c r="BB25">
        <v>3035</v>
      </c>
      <c r="BC25">
        <v>3390</v>
      </c>
    </row>
    <row r="26" spans="1:55" x14ac:dyDescent="0.3">
      <c r="A26">
        <v>2033</v>
      </c>
      <c r="B26">
        <v>3223</v>
      </c>
      <c r="C26">
        <v>3262</v>
      </c>
      <c r="D26">
        <v>3173</v>
      </c>
      <c r="E26">
        <v>3385</v>
      </c>
      <c r="F26">
        <v>3215</v>
      </c>
      <c r="G26">
        <v>4623</v>
      </c>
      <c r="H26">
        <v>4677</v>
      </c>
      <c r="I26">
        <v>4698</v>
      </c>
      <c r="J26">
        <v>4527</v>
      </c>
      <c r="K26">
        <v>4801</v>
      </c>
      <c r="L26">
        <v>6158</v>
      </c>
      <c r="M26">
        <v>6229</v>
      </c>
      <c r="N26">
        <v>6203</v>
      </c>
      <c r="O26">
        <v>6232</v>
      </c>
      <c r="P26">
        <v>5989</v>
      </c>
      <c r="Q26">
        <v>7094</v>
      </c>
      <c r="R26">
        <v>5851</v>
      </c>
      <c r="S26">
        <v>6331</v>
      </c>
      <c r="T26">
        <v>5972</v>
      </c>
      <c r="U26">
        <v>6226</v>
      </c>
      <c r="V26">
        <v>7637</v>
      </c>
      <c r="W26">
        <v>7571</v>
      </c>
      <c r="X26">
        <v>7560</v>
      </c>
      <c r="Y26">
        <v>7758</v>
      </c>
      <c r="Z26">
        <v>7441</v>
      </c>
      <c r="AA26">
        <v>8241</v>
      </c>
      <c r="AB26">
        <v>8381</v>
      </c>
      <c r="AC26">
        <v>8260</v>
      </c>
      <c r="AD26">
        <v>8371</v>
      </c>
      <c r="AE26">
        <v>8161</v>
      </c>
      <c r="AF26">
        <v>18754</v>
      </c>
      <c r="AG26">
        <v>18636</v>
      </c>
      <c r="AH26">
        <v>18849</v>
      </c>
      <c r="AI26">
        <v>18021</v>
      </c>
      <c r="AJ26">
        <v>18236</v>
      </c>
      <c r="AK26">
        <v>17686</v>
      </c>
      <c r="AL26">
        <v>17302</v>
      </c>
      <c r="AM26">
        <v>17141</v>
      </c>
      <c r="AN26">
        <v>17070</v>
      </c>
      <c r="AO26">
        <v>16980</v>
      </c>
      <c r="AP26">
        <v>3544</v>
      </c>
      <c r="AQ26">
        <v>3535</v>
      </c>
      <c r="AR26">
        <v>3709</v>
      </c>
      <c r="AS26">
        <v>3437</v>
      </c>
      <c r="AT26">
        <v>3019</v>
      </c>
      <c r="AU26">
        <v>3324</v>
      </c>
      <c r="AV26">
        <v>4001</v>
      </c>
      <c r="AW26">
        <v>3838</v>
      </c>
      <c r="AX26">
        <v>3340</v>
      </c>
      <c r="AY26">
        <v>3611</v>
      </c>
      <c r="AZ26">
        <v>3180</v>
      </c>
      <c r="BA26">
        <v>3288</v>
      </c>
      <c r="BB26">
        <v>3302</v>
      </c>
      <c r="BC26">
        <v>3694</v>
      </c>
    </row>
    <row r="27" spans="1:55" x14ac:dyDescent="0.3">
      <c r="A27">
        <v>2034</v>
      </c>
      <c r="B27">
        <v>3463</v>
      </c>
      <c r="C27">
        <v>3507</v>
      </c>
      <c r="D27">
        <v>3374</v>
      </c>
      <c r="E27">
        <v>3664</v>
      </c>
      <c r="F27">
        <v>3430</v>
      </c>
      <c r="G27">
        <v>5213</v>
      </c>
      <c r="H27">
        <v>5214</v>
      </c>
      <c r="I27">
        <v>5266</v>
      </c>
      <c r="J27">
        <v>5081</v>
      </c>
      <c r="K27">
        <v>5376</v>
      </c>
      <c r="L27">
        <v>7112</v>
      </c>
      <c r="M27">
        <v>7170</v>
      </c>
      <c r="N27">
        <v>7108</v>
      </c>
      <c r="O27">
        <v>7157</v>
      </c>
      <c r="P27">
        <v>6902</v>
      </c>
      <c r="Q27">
        <v>8096</v>
      </c>
      <c r="R27">
        <v>6519</v>
      </c>
      <c r="S27">
        <v>7214</v>
      </c>
      <c r="T27">
        <v>6716</v>
      </c>
      <c r="U27">
        <v>7104</v>
      </c>
      <c r="V27">
        <v>8571</v>
      </c>
      <c r="W27">
        <v>8558</v>
      </c>
      <c r="X27">
        <v>8519</v>
      </c>
      <c r="Y27">
        <v>8700</v>
      </c>
      <c r="Z27">
        <v>8390</v>
      </c>
      <c r="AA27">
        <v>9341</v>
      </c>
      <c r="AB27">
        <v>9455</v>
      </c>
      <c r="AC27">
        <v>9366</v>
      </c>
      <c r="AD27">
        <v>9510</v>
      </c>
      <c r="AE27">
        <v>9336</v>
      </c>
      <c r="AF27">
        <v>21185</v>
      </c>
      <c r="AG27">
        <v>21223</v>
      </c>
      <c r="AH27">
        <v>21475</v>
      </c>
      <c r="AI27">
        <v>20685</v>
      </c>
      <c r="AJ27">
        <v>20824</v>
      </c>
      <c r="AK27">
        <v>19661</v>
      </c>
      <c r="AL27">
        <v>19223</v>
      </c>
      <c r="AM27">
        <v>19232</v>
      </c>
      <c r="AN27">
        <v>18949</v>
      </c>
      <c r="AO27">
        <v>18924</v>
      </c>
      <c r="AP27">
        <v>3872</v>
      </c>
      <c r="AQ27">
        <v>3905</v>
      </c>
      <c r="AR27">
        <v>4074</v>
      </c>
      <c r="AS27">
        <v>3778</v>
      </c>
      <c r="AT27">
        <v>3279</v>
      </c>
      <c r="AU27">
        <v>3647</v>
      </c>
      <c r="AV27">
        <v>4453</v>
      </c>
      <c r="AW27">
        <v>4295</v>
      </c>
      <c r="AX27">
        <v>3693</v>
      </c>
      <c r="AY27">
        <v>3945</v>
      </c>
      <c r="AZ27">
        <v>3493</v>
      </c>
      <c r="BA27">
        <v>3639</v>
      </c>
      <c r="BB27">
        <v>3633</v>
      </c>
      <c r="BC27">
        <v>4073</v>
      </c>
    </row>
    <row r="28" spans="1:55" x14ac:dyDescent="0.3">
      <c r="A28">
        <v>2035</v>
      </c>
      <c r="B28">
        <v>3781</v>
      </c>
      <c r="C28">
        <v>3889</v>
      </c>
      <c r="D28">
        <v>3699</v>
      </c>
      <c r="E28">
        <v>4056</v>
      </c>
      <c r="F28">
        <v>3758</v>
      </c>
      <c r="G28">
        <v>5855</v>
      </c>
      <c r="H28">
        <v>5816</v>
      </c>
      <c r="I28">
        <v>5933</v>
      </c>
      <c r="J28">
        <v>5698</v>
      </c>
      <c r="K28">
        <v>5983</v>
      </c>
      <c r="L28">
        <v>8151</v>
      </c>
      <c r="M28">
        <v>8123</v>
      </c>
      <c r="N28">
        <v>8073</v>
      </c>
      <c r="O28">
        <v>8108</v>
      </c>
      <c r="P28">
        <v>7914</v>
      </c>
      <c r="Q28">
        <v>9094</v>
      </c>
      <c r="R28">
        <v>7442</v>
      </c>
      <c r="S28">
        <v>8303</v>
      </c>
      <c r="T28">
        <v>7681</v>
      </c>
      <c r="U28">
        <v>8216</v>
      </c>
      <c r="V28">
        <v>9652</v>
      </c>
      <c r="W28">
        <v>9611</v>
      </c>
      <c r="X28">
        <v>9619</v>
      </c>
      <c r="Y28">
        <v>9784</v>
      </c>
      <c r="Z28">
        <v>9469</v>
      </c>
      <c r="AA28">
        <v>10471</v>
      </c>
      <c r="AB28">
        <v>10612</v>
      </c>
      <c r="AC28">
        <v>10526</v>
      </c>
      <c r="AD28">
        <v>10633</v>
      </c>
      <c r="AE28">
        <v>10566</v>
      </c>
      <c r="AF28">
        <v>23386</v>
      </c>
      <c r="AG28">
        <v>23445</v>
      </c>
      <c r="AH28">
        <v>23676</v>
      </c>
      <c r="AI28">
        <v>23139</v>
      </c>
      <c r="AJ28">
        <v>23122</v>
      </c>
      <c r="AK28">
        <v>21378</v>
      </c>
      <c r="AL28">
        <v>20989</v>
      </c>
      <c r="AM28">
        <v>20954</v>
      </c>
      <c r="AN28">
        <v>20672</v>
      </c>
      <c r="AO28">
        <v>20801</v>
      </c>
      <c r="AP28">
        <v>4264</v>
      </c>
      <c r="AQ28">
        <v>4344</v>
      </c>
      <c r="AR28">
        <v>4505</v>
      </c>
      <c r="AS28">
        <v>4190</v>
      </c>
      <c r="AT28">
        <v>3625</v>
      </c>
      <c r="AU28">
        <v>4043</v>
      </c>
      <c r="AV28">
        <v>4984</v>
      </c>
      <c r="AW28">
        <v>4805</v>
      </c>
      <c r="AX28">
        <v>4113</v>
      </c>
      <c r="AY28">
        <v>4418</v>
      </c>
      <c r="AZ28">
        <v>3853</v>
      </c>
      <c r="BA28">
        <v>4033</v>
      </c>
      <c r="BB28">
        <v>4055</v>
      </c>
      <c r="BC28">
        <v>4563</v>
      </c>
    </row>
    <row r="29" spans="1:55" x14ac:dyDescent="0.3">
      <c r="A29">
        <v>2036</v>
      </c>
      <c r="B29">
        <v>4120</v>
      </c>
      <c r="C29">
        <v>4227</v>
      </c>
      <c r="D29">
        <v>4022</v>
      </c>
      <c r="E29">
        <v>4404</v>
      </c>
      <c r="F29">
        <v>4068</v>
      </c>
      <c r="G29">
        <v>6368</v>
      </c>
      <c r="H29">
        <v>6348</v>
      </c>
      <c r="I29">
        <v>6534</v>
      </c>
      <c r="J29">
        <v>6219</v>
      </c>
      <c r="K29">
        <v>6522</v>
      </c>
      <c r="L29">
        <v>9103</v>
      </c>
      <c r="M29">
        <v>8992</v>
      </c>
      <c r="N29">
        <v>9009</v>
      </c>
      <c r="O29">
        <v>9035</v>
      </c>
      <c r="P29">
        <v>8896</v>
      </c>
      <c r="Q29">
        <v>9995</v>
      </c>
      <c r="R29">
        <v>8551</v>
      </c>
      <c r="S29">
        <v>9391</v>
      </c>
      <c r="T29">
        <v>8787</v>
      </c>
      <c r="U29">
        <v>9289</v>
      </c>
      <c r="V29">
        <v>10873</v>
      </c>
      <c r="W29">
        <v>10753</v>
      </c>
      <c r="X29">
        <v>10727</v>
      </c>
      <c r="Y29">
        <v>10957</v>
      </c>
      <c r="Z29">
        <v>10543</v>
      </c>
      <c r="AA29">
        <v>11522</v>
      </c>
      <c r="AB29">
        <v>11698</v>
      </c>
      <c r="AC29">
        <v>11608</v>
      </c>
      <c r="AD29">
        <v>11701</v>
      </c>
      <c r="AE29">
        <v>11677</v>
      </c>
      <c r="AF29">
        <v>25789</v>
      </c>
      <c r="AG29">
        <v>25794</v>
      </c>
      <c r="AH29">
        <v>25704</v>
      </c>
      <c r="AI29">
        <v>25572</v>
      </c>
      <c r="AJ29">
        <v>25626</v>
      </c>
      <c r="AK29">
        <v>22905</v>
      </c>
      <c r="AL29">
        <v>22534</v>
      </c>
      <c r="AM29">
        <v>22660</v>
      </c>
      <c r="AN29">
        <v>22389</v>
      </c>
      <c r="AO29">
        <v>22628</v>
      </c>
      <c r="AP29">
        <v>4659</v>
      </c>
      <c r="AQ29">
        <v>4810</v>
      </c>
      <c r="AR29">
        <v>4912</v>
      </c>
      <c r="AS29">
        <v>4633</v>
      </c>
      <c r="AT29">
        <v>4006</v>
      </c>
      <c r="AU29">
        <v>4468</v>
      </c>
      <c r="AV29">
        <v>5535</v>
      </c>
      <c r="AW29">
        <v>5267</v>
      </c>
      <c r="AX29">
        <v>4503</v>
      </c>
      <c r="AY29">
        <v>4857</v>
      </c>
      <c r="AZ29">
        <v>4201</v>
      </c>
      <c r="BA29">
        <v>4433</v>
      </c>
      <c r="BB29">
        <v>4427</v>
      </c>
      <c r="BC29">
        <v>4971</v>
      </c>
    </row>
    <row r="30" spans="1:55" x14ac:dyDescent="0.3">
      <c r="A30">
        <v>2037</v>
      </c>
      <c r="B30">
        <v>4411</v>
      </c>
      <c r="C30">
        <v>4511</v>
      </c>
      <c r="D30">
        <v>4313</v>
      </c>
      <c r="E30">
        <v>4669</v>
      </c>
      <c r="F30">
        <v>4354</v>
      </c>
      <c r="G30">
        <v>6711</v>
      </c>
      <c r="H30">
        <v>6727</v>
      </c>
      <c r="I30">
        <v>6900</v>
      </c>
      <c r="J30">
        <v>6548</v>
      </c>
      <c r="K30">
        <v>6880</v>
      </c>
      <c r="L30">
        <v>9851</v>
      </c>
      <c r="M30">
        <v>9714</v>
      </c>
      <c r="N30">
        <v>9762</v>
      </c>
      <c r="O30">
        <v>9780</v>
      </c>
      <c r="P30">
        <v>9674</v>
      </c>
      <c r="Q30">
        <v>10892</v>
      </c>
      <c r="R30">
        <v>9663</v>
      </c>
      <c r="S30">
        <v>10284</v>
      </c>
      <c r="T30">
        <v>9838</v>
      </c>
      <c r="U30">
        <v>10244</v>
      </c>
      <c r="V30">
        <v>11948</v>
      </c>
      <c r="W30">
        <v>11802</v>
      </c>
      <c r="X30">
        <v>11789</v>
      </c>
      <c r="Y30">
        <v>11990</v>
      </c>
      <c r="Z30">
        <v>11565</v>
      </c>
      <c r="AA30">
        <v>12496</v>
      </c>
      <c r="AB30">
        <v>12672</v>
      </c>
      <c r="AC30">
        <v>12596</v>
      </c>
      <c r="AD30">
        <v>12619</v>
      </c>
      <c r="AE30">
        <v>12575</v>
      </c>
      <c r="AF30">
        <v>28236</v>
      </c>
      <c r="AG30">
        <v>27903</v>
      </c>
      <c r="AH30">
        <v>27904</v>
      </c>
      <c r="AI30">
        <v>27772</v>
      </c>
      <c r="AJ30">
        <v>27875</v>
      </c>
      <c r="AK30">
        <v>24384</v>
      </c>
      <c r="AL30">
        <v>24182</v>
      </c>
      <c r="AM30">
        <v>24135</v>
      </c>
      <c r="AN30">
        <v>24031</v>
      </c>
      <c r="AO30">
        <v>24237</v>
      </c>
      <c r="AP30">
        <v>5052</v>
      </c>
      <c r="AQ30">
        <v>5207</v>
      </c>
      <c r="AR30">
        <v>5315</v>
      </c>
      <c r="AS30">
        <v>5021</v>
      </c>
      <c r="AT30">
        <v>4417</v>
      </c>
      <c r="AU30">
        <v>4860</v>
      </c>
      <c r="AV30">
        <v>6121</v>
      </c>
      <c r="AW30">
        <v>5681</v>
      </c>
      <c r="AX30">
        <v>4884</v>
      </c>
      <c r="AY30">
        <v>5249</v>
      </c>
      <c r="AZ30">
        <v>4578</v>
      </c>
      <c r="BA30">
        <v>4802</v>
      </c>
      <c r="BB30">
        <v>4802</v>
      </c>
      <c r="BC30">
        <v>5385</v>
      </c>
    </row>
    <row r="31" spans="1:55" x14ac:dyDescent="0.3">
      <c r="A31">
        <v>2038</v>
      </c>
      <c r="B31">
        <v>4720</v>
      </c>
      <c r="C31">
        <v>4799</v>
      </c>
      <c r="D31">
        <v>4630</v>
      </c>
      <c r="E31">
        <v>4986</v>
      </c>
      <c r="F31">
        <v>4662</v>
      </c>
      <c r="G31">
        <v>7312</v>
      </c>
      <c r="H31">
        <v>7371</v>
      </c>
      <c r="I31">
        <v>7444</v>
      </c>
      <c r="J31">
        <v>7141</v>
      </c>
      <c r="K31">
        <v>7515</v>
      </c>
      <c r="L31">
        <v>10706</v>
      </c>
      <c r="M31">
        <v>10654</v>
      </c>
      <c r="N31">
        <v>10657</v>
      </c>
      <c r="O31">
        <v>10663</v>
      </c>
      <c r="P31">
        <v>10494</v>
      </c>
      <c r="Q31">
        <v>11816</v>
      </c>
      <c r="R31">
        <v>10543</v>
      </c>
      <c r="S31">
        <v>11057</v>
      </c>
      <c r="T31">
        <v>10655</v>
      </c>
      <c r="U31">
        <v>11006</v>
      </c>
      <c r="V31">
        <v>12851</v>
      </c>
      <c r="W31">
        <v>12689</v>
      </c>
      <c r="X31">
        <v>12703</v>
      </c>
      <c r="Y31">
        <v>12943</v>
      </c>
      <c r="Z31">
        <v>12509</v>
      </c>
      <c r="AA31">
        <v>13447</v>
      </c>
      <c r="AB31">
        <v>13569</v>
      </c>
      <c r="AC31">
        <v>13509</v>
      </c>
      <c r="AD31">
        <v>13494</v>
      </c>
      <c r="AE31">
        <v>13406</v>
      </c>
      <c r="AF31">
        <v>29384</v>
      </c>
      <c r="AG31">
        <v>28791</v>
      </c>
      <c r="AH31">
        <v>28895</v>
      </c>
      <c r="AI31">
        <v>28776</v>
      </c>
      <c r="AJ31">
        <v>28919</v>
      </c>
      <c r="AK31">
        <v>25132</v>
      </c>
      <c r="AL31">
        <v>24973</v>
      </c>
      <c r="AM31">
        <v>24887</v>
      </c>
      <c r="AN31">
        <v>24815</v>
      </c>
      <c r="AO31">
        <v>24946</v>
      </c>
      <c r="AP31">
        <v>5479</v>
      </c>
      <c r="AQ31">
        <v>5609</v>
      </c>
      <c r="AR31">
        <v>5739</v>
      </c>
      <c r="AS31">
        <v>5424</v>
      </c>
      <c r="AT31">
        <v>4866</v>
      </c>
      <c r="AU31">
        <v>5234</v>
      </c>
      <c r="AV31">
        <v>6770</v>
      </c>
      <c r="AW31">
        <v>6165</v>
      </c>
      <c r="AX31">
        <v>5299</v>
      </c>
      <c r="AY31">
        <v>5661</v>
      </c>
      <c r="AZ31">
        <v>4990</v>
      </c>
      <c r="BA31">
        <v>5189</v>
      </c>
      <c r="BB31">
        <v>5206</v>
      </c>
      <c r="BC31">
        <v>5834</v>
      </c>
    </row>
    <row r="32" spans="1:55" x14ac:dyDescent="0.3">
      <c r="A32">
        <v>2039</v>
      </c>
      <c r="B32">
        <v>4961</v>
      </c>
      <c r="C32">
        <v>5044</v>
      </c>
      <c r="D32">
        <v>4861</v>
      </c>
      <c r="E32">
        <v>5291</v>
      </c>
      <c r="F32">
        <v>4910</v>
      </c>
      <c r="G32">
        <v>8086</v>
      </c>
      <c r="H32">
        <v>8147</v>
      </c>
      <c r="I32">
        <v>8212</v>
      </c>
      <c r="J32">
        <v>7852</v>
      </c>
      <c r="K32">
        <v>8314</v>
      </c>
      <c r="L32">
        <v>11797</v>
      </c>
      <c r="M32">
        <v>11823</v>
      </c>
      <c r="N32">
        <v>11707</v>
      </c>
      <c r="O32">
        <v>11784</v>
      </c>
      <c r="P32">
        <v>11535</v>
      </c>
      <c r="Q32">
        <v>12821</v>
      </c>
      <c r="R32">
        <v>11253</v>
      </c>
      <c r="S32">
        <v>11814</v>
      </c>
      <c r="T32">
        <v>11378</v>
      </c>
      <c r="U32">
        <v>11728</v>
      </c>
      <c r="V32">
        <v>13668</v>
      </c>
      <c r="W32">
        <v>13578</v>
      </c>
      <c r="X32">
        <v>13587</v>
      </c>
      <c r="Y32">
        <v>13855</v>
      </c>
      <c r="Z32">
        <v>13413</v>
      </c>
      <c r="AA32">
        <v>14346</v>
      </c>
      <c r="AB32">
        <v>14381</v>
      </c>
      <c r="AC32">
        <v>14346</v>
      </c>
      <c r="AD32">
        <v>14411</v>
      </c>
      <c r="AE32">
        <v>14264</v>
      </c>
      <c r="AF32">
        <v>30356</v>
      </c>
      <c r="AG32">
        <v>30116</v>
      </c>
      <c r="AH32">
        <v>30127</v>
      </c>
      <c r="AI32">
        <v>29927</v>
      </c>
      <c r="AJ32">
        <v>29972</v>
      </c>
      <c r="AK32">
        <v>25853</v>
      </c>
      <c r="AL32">
        <v>25792</v>
      </c>
      <c r="AM32">
        <v>25786</v>
      </c>
      <c r="AN32">
        <v>25638</v>
      </c>
      <c r="AO32">
        <v>25846</v>
      </c>
      <c r="AP32">
        <v>5942</v>
      </c>
      <c r="AQ32">
        <v>6023</v>
      </c>
      <c r="AR32">
        <v>6210</v>
      </c>
      <c r="AS32">
        <v>5810</v>
      </c>
      <c r="AT32">
        <v>5278</v>
      </c>
      <c r="AU32">
        <v>5628</v>
      </c>
      <c r="AV32">
        <v>7546</v>
      </c>
      <c r="AW32">
        <v>6706</v>
      </c>
      <c r="AX32">
        <v>5730</v>
      </c>
      <c r="AY32">
        <v>6067</v>
      </c>
      <c r="AZ32">
        <v>5361</v>
      </c>
      <c r="BA32">
        <v>5596</v>
      </c>
      <c r="BB32">
        <v>5584</v>
      </c>
      <c r="BC32">
        <v>6349</v>
      </c>
    </row>
    <row r="33" spans="1:55" x14ac:dyDescent="0.3">
      <c r="A33">
        <v>2040</v>
      </c>
      <c r="B33">
        <v>5275</v>
      </c>
      <c r="C33">
        <v>5342</v>
      </c>
      <c r="D33">
        <v>5137</v>
      </c>
      <c r="E33">
        <v>5645</v>
      </c>
      <c r="F33">
        <v>5184</v>
      </c>
      <c r="G33">
        <v>8881</v>
      </c>
      <c r="H33">
        <v>8875</v>
      </c>
      <c r="I33">
        <v>8982</v>
      </c>
      <c r="J33">
        <v>8588</v>
      </c>
      <c r="K33">
        <v>9083</v>
      </c>
      <c r="L33">
        <v>12755</v>
      </c>
      <c r="M33">
        <v>12805</v>
      </c>
      <c r="N33">
        <v>12610</v>
      </c>
      <c r="O33">
        <v>12738</v>
      </c>
      <c r="P33">
        <v>12505</v>
      </c>
      <c r="Q33">
        <v>13858</v>
      </c>
      <c r="R33">
        <v>12001</v>
      </c>
      <c r="S33">
        <v>12734</v>
      </c>
      <c r="T33">
        <v>12171</v>
      </c>
      <c r="U33">
        <v>12656</v>
      </c>
      <c r="V33">
        <v>14629</v>
      </c>
      <c r="W33">
        <v>14591</v>
      </c>
      <c r="X33">
        <v>14583</v>
      </c>
      <c r="Y33">
        <v>14821</v>
      </c>
      <c r="Z33">
        <v>14427</v>
      </c>
      <c r="AA33">
        <v>15188</v>
      </c>
      <c r="AB33">
        <v>15200</v>
      </c>
      <c r="AC33">
        <v>15200</v>
      </c>
      <c r="AD33">
        <v>15313</v>
      </c>
      <c r="AE33">
        <v>15181</v>
      </c>
      <c r="AF33">
        <v>31519</v>
      </c>
      <c r="AG33">
        <v>31399</v>
      </c>
      <c r="AH33">
        <v>31349</v>
      </c>
      <c r="AI33">
        <v>31202</v>
      </c>
      <c r="AJ33">
        <v>31141</v>
      </c>
      <c r="AK33">
        <v>26540</v>
      </c>
      <c r="AL33">
        <v>26359</v>
      </c>
      <c r="AM33">
        <v>26520</v>
      </c>
      <c r="AN33">
        <v>26241</v>
      </c>
      <c r="AO33">
        <v>26517</v>
      </c>
      <c r="AP33">
        <v>6419</v>
      </c>
      <c r="AQ33">
        <v>6519</v>
      </c>
      <c r="AR33">
        <v>6770</v>
      </c>
      <c r="AS33">
        <v>6250</v>
      </c>
      <c r="AT33">
        <v>5695</v>
      </c>
      <c r="AU33">
        <v>6024</v>
      </c>
      <c r="AV33">
        <v>8436</v>
      </c>
      <c r="AW33">
        <v>7406</v>
      </c>
      <c r="AX33">
        <v>6192</v>
      </c>
      <c r="AY33">
        <v>6557</v>
      </c>
      <c r="AZ33">
        <v>5783</v>
      </c>
      <c r="BA33">
        <v>6058</v>
      </c>
      <c r="BB33">
        <v>6035</v>
      </c>
      <c r="BC33">
        <v>6965</v>
      </c>
    </row>
    <row r="34" spans="1:55" x14ac:dyDescent="0.3">
      <c r="A34">
        <v>2041</v>
      </c>
      <c r="B34">
        <v>5665</v>
      </c>
      <c r="C34">
        <v>5787</v>
      </c>
      <c r="D34">
        <v>5508</v>
      </c>
      <c r="E34">
        <v>6136</v>
      </c>
      <c r="F34">
        <v>5585</v>
      </c>
      <c r="G34">
        <v>9719</v>
      </c>
      <c r="H34">
        <v>9636</v>
      </c>
      <c r="I34">
        <v>9820</v>
      </c>
      <c r="J34">
        <v>9368</v>
      </c>
      <c r="K34">
        <v>9853</v>
      </c>
      <c r="L34">
        <v>13745</v>
      </c>
      <c r="M34">
        <v>13725</v>
      </c>
      <c r="N34">
        <v>13548</v>
      </c>
      <c r="O34">
        <v>13673</v>
      </c>
      <c r="P34">
        <v>13501</v>
      </c>
      <c r="Q34">
        <v>14871</v>
      </c>
      <c r="R34">
        <v>12942</v>
      </c>
      <c r="S34">
        <v>13876</v>
      </c>
      <c r="T34">
        <v>13166</v>
      </c>
      <c r="U34">
        <v>13792</v>
      </c>
      <c r="V34">
        <v>15674</v>
      </c>
      <c r="W34">
        <v>15640</v>
      </c>
      <c r="X34">
        <v>15661</v>
      </c>
      <c r="Y34">
        <v>15859</v>
      </c>
      <c r="Z34">
        <v>15514</v>
      </c>
      <c r="AA34">
        <v>16068</v>
      </c>
      <c r="AB34">
        <v>16105</v>
      </c>
      <c r="AC34">
        <v>16079</v>
      </c>
      <c r="AD34">
        <v>16171</v>
      </c>
      <c r="AE34">
        <v>16128</v>
      </c>
      <c r="AF34">
        <v>32510</v>
      </c>
      <c r="AG34">
        <v>32355</v>
      </c>
      <c r="AH34">
        <v>32343</v>
      </c>
      <c r="AI34">
        <v>32290</v>
      </c>
      <c r="AJ34">
        <v>32219</v>
      </c>
      <c r="AK34">
        <v>27216</v>
      </c>
      <c r="AL34">
        <v>26948</v>
      </c>
      <c r="AM34">
        <v>27055</v>
      </c>
      <c r="AN34">
        <v>26751</v>
      </c>
      <c r="AO34">
        <v>27120</v>
      </c>
      <c r="AP34">
        <v>6966</v>
      </c>
      <c r="AQ34">
        <v>7131</v>
      </c>
      <c r="AR34">
        <v>7422</v>
      </c>
      <c r="AS34">
        <v>6809</v>
      </c>
      <c r="AT34">
        <v>6181</v>
      </c>
      <c r="AU34">
        <v>6540</v>
      </c>
      <c r="AV34">
        <v>9427</v>
      </c>
      <c r="AW34">
        <v>8237</v>
      </c>
      <c r="AX34">
        <v>6747</v>
      </c>
      <c r="AY34">
        <v>7165</v>
      </c>
      <c r="AZ34">
        <v>6263</v>
      </c>
      <c r="BA34">
        <v>6580</v>
      </c>
      <c r="BB34">
        <v>6573</v>
      </c>
      <c r="BC34">
        <v>7769</v>
      </c>
    </row>
    <row r="35" spans="1:55" x14ac:dyDescent="0.3">
      <c r="A35">
        <v>2042</v>
      </c>
      <c r="B35">
        <v>6090</v>
      </c>
      <c r="C35">
        <v>6220</v>
      </c>
      <c r="D35">
        <v>5920</v>
      </c>
      <c r="E35">
        <v>6609</v>
      </c>
      <c r="F35">
        <v>5979</v>
      </c>
      <c r="G35">
        <v>10428</v>
      </c>
      <c r="H35">
        <v>10325</v>
      </c>
      <c r="I35">
        <v>10608</v>
      </c>
      <c r="J35">
        <v>10065</v>
      </c>
      <c r="K35">
        <v>10538</v>
      </c>
      <c r="L35">
        <v>14652</v>
      </c>
      <c r="M35">
        <v>14565</v>
      </c>
      <c r="N35">
        <v>14463</v>
      </c>
      <c r="O35">
        <v>14573</v>
      </c>
      <c r="P35">
        <v>14472</v>
      </c>
      <c r="Q35">
        <v>15759</v>
      </c>
      <c r="R35">
        <v>14068</v>
      </c>
      <c r="S35">
        <v>15012</v>
      </c>
      <c r="T35">
        <v>14318</v>
      </c>
      <c r="U35">
        <v>14909</v>
      </c>
      <c r="V35">
        <v>16732</v>
      </c>
      <c r="W35">
        <v>16673</v>
      </c>
      <c r="X35">
        <v>16702</v>
      </c>
      <c r="Y35">
        <v>16848</v>
      </c>
      <c r="Z35">
        <v>16544</v>
      </c>
      <c r="AA35">
        <v>16894</v>
      </c>
      <c r="AB35">
        <v>16966</v>
      </c>
      <c r="AC35">
        <v>16947</v>
      </c>
      <c r="AD35">
        <v>17008</v>
      </c>
      <c r="AE35">
        <v>17021</v>
      </c>
      <c r="AF35">
        <v>33533</v>
      </c>
      <c r="AG35">
        <v>33451</v>
      </c>
      <c r="AH35">
        <v>33280</v>
      </c>
      <c r="AI35">
        <v>33425</v>
      </c>
      <c r="AJ35">
        <v>33411</v>
      </c>
      <c r="AK35">
        <v>27685</v>
      </c>
      <c r="AL35">
        <v>27444</v>
      </c>
      <c r="AM35">
        <v>27544</v>
      </c>
      <c r="AN35">
        <v>27380</v>
      </c>
      <c r="AO35">
        <v>27642</v>
      </c>
      <c r="AP35">
        <v>7562</v>
      </c>
      <c r="AQ35">
        <v>7811</v>
      </c>
      <c r="AR35">
        <v>8107</v>
      </c>
      <c r="AS35">
        <v>7406</v>
      </c>
      <c r="AT35">
        <v>6668</v>
      </c>
      <c r="AU35">
        <v>7061</v>
      </c>
      <c r="AV35">
        <v>10468</v>
      </c>
      <c r="AW35">
        <v>9085</v>
      </c>
      <c r="AX35">
        <v>7299</v>
      </c>
      <c r="AY35">
        <v>7824</v>
      </c>
      <c r="AZ35">
        <v>6726</v>
      </c>
      <c r="BA35">
        <v>7095</v>
      </c>
      <c r="BB35">
        <v>7109</v>
      </c>
      <c r="BC35">
        <v>8622</v>
      </c>
    </row>
    <row r="36" spans="1:55" x14ac:dyDescent="0.3">
      <c r="A36">
        <v>2043</v>
      </c>
      <c r="B36">
        <v>6500</v>
      </c>
      <c r="C36">
        <v>6617</v>
      </c>
      <c r="D36">
        <v>6326</v>
      </c>
      <c r="E36">
        <v>6970</v>
      </c>
      <c r="F36">
        <v>6383</v>
      </c>
      <c r="G36">
        <v>10914</v>
      </c>
      <c r="H36">
        <v>10825</v>
      </c>
      <c r="I36">
        <v>11128</v>
      </c>
      <c r="J36">
        <v>10531</v>
      </c>
      <c r="K36">
        <v>11016</v>
      </c>
      <c r="L36">
        <v>15289</v>
      </c>
      <c r="M36">
        <v>15203</v>
      </c>
      <c r="N36">
        <v>15128</v>
      </c>
      <c r="O36">
        <v>15222</v>
      </c>
      <c r="P36">
        <v>15198</v>
      </c>
      <c r="Q36">
        <v>16629</v>
      </c>
      <c r="R36">
        <v>15191</v>
      </c>
      <c r="S36">
        <v>15936</v>
      </c>
      <c r="T36">
        <v>15390</v>
      </c>
      <c r="U36">
        <v>15891</v>
      </c>
      <c r="V36">
        <v>17569</v>
      </c>
      <c r="W36">
        <v>17534</v>
      </c>
      <c r="X36">
        <v>17542</v>
      </c>
      <c r="Y36">
        <v>17640</v>
      </c>
      <c r="Z36">
        <v>17435</v>
      </c>
      <c r="AA36">
        <v>17635</v>
      </c>
      <c r="AB36">
        <v>17671</v>
      </c>
      <c r="AC36">
        <v>17684</v>
      </c>
      <c r="AD36">
        <v>17698</v>
      </c>
      <c r="AE36">
        <v>17703</v>
      </c>
      <c r="AF36">
        <v>34824</v>
      </c>
      <c r="AG36">
        <v>34474</v>
      </c>
      <c r="AH36">
        <v>34460</v>
      </c>
      <c r="AI36">
        <v>34647</v>
      </c>
      <c r="AJ36">
        <v>34400</v>
      </c>
      <c r="AK36">
        <v>28292</v>
      </c>
      <c r="AL36">
        <v>28019</v>
      </c>
      <c r="AM36">
        <v>28099</v>
      </c>
      <c r="AN36">
        <v>27888</v>
      </c>
      <c r="AO36">
        <v>28225</v>
      </c>
      <c r="AP36">
        <v>8201</v>
      </c>
      <c r="AQ36">
        <v>8527</v>
      </c>
      <c r="AR36">
        <v>8852</v>
      </c>
      <c r="AS36">
        <v>8012</v>
      </c>
      <c r="AT36">
        <v>7180</v>
      </c>
      <c r="AU36">
        <v>7592</v>
      </c>
      <c r="AV36">
        <v>11474</v>
      </c>
      <c r="AW36">
        <v>9969</v>
      </c>
      <c r="AX36">
        <v>7876</v>
      </c>
      <c r="AY36">
        <v>8540</v>
      </c>
      <c r="AZ36">
        <v>7199</v>
      </c>
      <c r="BA36">
        <v>7656</v>
      </c>
      <c r="BB36">
        <v>7630</v>
      </c>
      <c r="BC36">
        <v>9533</v>
      </c>
    </row>
    <row r="37" spans="1:55" x14ac:dyDescent="0.3">
      <c r="A37">
        <v>2044</v>
      </c>
      <c r="B37">
        <v>6899</v>
      </c>
      <c r="C37">
        <v>6999</v>
      </c>
      <c r="D37">
        <v>6754</v>
      </c>
      <c r="E37">
        <v>7350</v>
      </c>
      <c r="F37">
        <v>6807</v>
      </c>
      <c r="G37">
        <v>11563</v>
      </c>
      <c r="H37">
        <v>11506</v>
      </c>
      <c r="I37">
        <v>11720</v>
      </c>
      <c r="J37">
        <v>11165</v>
      </c>
      <c r="K37">
        <v>11670</v>
      </c>
      <c r="L37">
        <v>15991</v>
      </c>
      <c r="M37">
        <v>15973</v>
      </c>
      <c r="N37">
        <v>15861</v>
      </c>
      <c r="O37">
        <v>15954</v>
      </c>
      <c r="P37">
        <v>15893</v>
      </c>
      <c r="Q37">
        <v>17504</v>
      </c>
      <c r="R37">
        <v>16070</v>
      </c>
      <c r="S37">
        <v>16713</v>
      </c>
      <c r="T37">
        <v>16226</v>
      </c>
      <c r="U37">
        <v>16655</v>
      </c>
      <c r="V37">
        <v>18246</v>
      </c>
      <c r="W37">
        <v>18198</v>
      </c>
      <c r="X37">
        <v>18186</v>
      </c>
      <c r="Y37">
        <v>18333</v>
      </c>
      <c r="Z37">
        <v>18118</v>
      </c>
      <c r="AA37">
        <v>18334</v>
      </c>
      <c r="AB37">
        <v>18346</v>
      </c>
      <c r="AC37">
        <v>18369</v>
      </c>
      <c r="AD37">
        <v>18349</v>
      </c>
      <c r="AE37">
        <v>18314</v>
      </c>
      <c r="AF37">
        <v>35364</v>
      </c>
      <c r="AG37">
        <v>34835</v>
      </c>
      <c r="AH37">
        <v>34986</v>
      </c>
      <c r="AI37">
        <v>35094</v>
      </c>
      <c r="AJ37">
        <v>34864</v>
      </c>
      <c r="AK37">
        <v>28490</v>
      </c>
      <c r="AL37">
        <v>28245</v>
      </c>
      <c r="AM37">
        <v>28396</v>
      </c>
      <c r="AN37">
        <v>28181</v>
      </c>
      <c r="AO37">
        <v>28431</v>
      </c>
      <c r="AP37">
        <v>8983</v>
      </c>
      <c r="AQ37">
        <v>9335</v>
      </c>
      <c r="AR37">
        <v>9729</v>
      </c>
      <c r="AS37">
        <v>8715</v>
      </c>
      <c r="AT37">
        <v>7736</v>
      </c>
      <c r="AU37">
        <v>8178</v>
      </c>
      <c r="AV37">
        <v>12483</v>
      </c>
      <c r="AW37">
        <v>10955</v>
      </c>
      <c r="AX37">
        <v>8538</v>
      </c>
      <c r="AY37">
        <v>9334</v>
      </c>
      <c r="AZ37">
        <v>7753</v>
      </c>
      <c r="BA37">
        <v>8290</v>
      </c>
      <c r="BB37">
        <v>8227</v>
      </c>
      <c r="BC37">
        <v>10478</v>
      </c>
    </row>
    <row r="38" spans="1:55" x14ac:dyDescent="0.3">
      <c r="A38">
        <v>2045</v>
      </c>
      <c r="B38">
        <v>7254</v>
      </c>
      <c r="C38">
        <v>7332</v>
      </c>
      <c r="D38">
        <v>7103</v>
      </c>
      <c r="E38">
        <v>7708</v>
      </c>
      <c r="F38">
        <v>7166</v>
      </c>
      <c r="G38">
        <v>12408</v>
      </c>
      <c r="H38">
        <v>12323</v>
      </c>
      <c r="I38">
        <v>12528</v>
      </c>
      <c r="J38">
        <v>11964</v>
      </c>
      <c r="K38">
        <v>12521</v>
      </c>
      <c r="L38">
        <v>16839</v>
      </c>
      <c r="M38">
        <v>16931</v>
      </c>
      <c r="N38">
        <v>16742</v>
      </c>
      <c r="O38">
        <v>16892</v>
      </c>
      <c r="P38">
        <v>16775</v>
      </c>
      <c r="Q38">
        <v>18405</v>
      </c>
      <c r="R38">
        <v>16790</v>
      </c>
      <c r="S38">
        <v>17451</v>
      </c>
      <c r="T38">
        <v>16953</v>
      </c>
      <c r="U38">
        <v>17363</v>
      </c>
      <c r="V38">
        <v>18855</v>
      </c>
      <c r="W38">
        <v>18874</v>
      </c>
      <c r="X38">
        <v>18830</v>
      </c>
      <c r="Y38">
        <v>18981</v>
      </c>
      <c r="Z38">
        <v>18767</v>
      </c>
      <c r="AA38">
        <v>19029</v>
      </c>
      <c r="AB38">
        <v>18995</v>
      </c>
      <c r="AC38">
        <v>19037</v>
      </c>
      <c r="AD38">
        <v>19064</v>
      </c>
      <c r="AE38">
        <v>18967</v>
      </c>
      <c r="AF38">
        <v>35883</v>
      </c>
      <c r="AG38">
        <v>35560</v>
      </c>
      <c r="AH38">
        <v>35616</v>
      </c>
      <c r="AI38">
        <v>35659</v>
      </c>
      <c r="AJ38">
        <v>35554</v>
      </c>
      <c r="AK38">
        <v>28739</v>
      </c>
      <c r="AL38">
        <v>28586</v>
      </c>
      <c r="AM38">
        <v>28777</v>
      </c>
      <c r="AN38">
        <v>28594</v>
      </c>
      <c r="AO38">
        <v>28828</v>
      </c>
      <c r="AP38">
        <v>9860</v>
      </c>
      <c r="AQ38">
        <v>10202</v>
      </c>
      <c r="AR38">
        <v>10704</v>
      </c>
      <c r="AS38">
        <v>9490</v>
      </c>
      <c r="AT38">
        <v>8292</v>
      </c>
      <c r="AU38">
        <v>8809</v>
      </c>
      <c r="AV38">
        <v>13545</v>
      </c>
      <c r="AW38">
        <v>11981</v>
      </c>
      <c r="AX38">
        <v>9252</v>
      </c>
      <c r="AY38">
        <v>10239</v>
      </c>
      <c r="AZ38">
        <v>8353</v>
      </c>
      <c r="BA38">
        <v>8996</v>
      </c>
      <c r="BB38">
        <v>8873</v>
      </c>
      <c r="BC38">
        <v>11421</v>
      </c>
    </row>
    <row r="39" spans="1:55" x14ac:dyDescent="0.3">
      <c r="A39">
        <v>2046</v>
      </c>
      <c r="B39">
        <v>7642</v>
      </c>
      <c r="C39">
        <v>7720</v>
      </c>
      <c r="D39">
        <v>7488</v>
      </c>
      <c r="E39">
        <v>8115</v>
      </c>
      <c r="F39">
        <v>7538</v>
      </c>
      <c r="G39">
        <v>13234</v>
      </c>
      <c r="H39">
        <v>13079</v>
      </c>
      <c r="I39">
        <v>13342</v>
      </c>
      <c r="J39">
        <v>12745</v>
      </c>
      <c r="K39">
        <v>13332</v>
      </c>
      <c r="L39">
        <v>17598</v>
      </c>
      <c r="M39">
        <v>17726</v>
      </c>
      <c r="N39">
        <v>17483</v>
      </c>
      <c r="O39">
        <v>17659</v>
      </c>
      <c r="P39">
        <v>17534</v>
      </c>
      <c r="Q39">
        <v>19308</v>
      </c>
      <c r="R39">
        <v>17520</v>
      </c>
      <c r="S39">
        <v>18329</v>
      </c>
      <c r="T39">
        <v>17714</v>
      </c>
      <c r="U39">
        <v>18239</v>
      </c>
      <c r="V39">
        <v>19564</v>
      </c>
      <c r="W39">
        <v>19639</v>
      </c>
      <c r="X39">
        <v>19604</v>
      </c>
      <c r="Y39">
        <v>19663</v>
      </c>
      <c r="Z39">
        <v>19556</v>
      </c>
      <c r="AA39">
        <v>19704</v>
      </c>
      <c r="AB39">
        <v>19640</v>
      </c>
      <c r="AC39">
        <v>19706</v>
      </c>
      <c r="AD39">
        <v>19764</v>
      </c>
      <c r="AE39">
        <v>19695</v>
      </c>
      <c r="AF39">
        <v>36539</v>
      </c>
      <c r="AG39">
        <v>36233</v>
      </c>
      <c r="AH39">
        <v>36369</v>
      </c>
      <c r="AI39">
        <v>36174</v>
      </c>
      <c r="AJ39">
        <v>36182</v>
      </c>
      <c r="AK39">
        <v>29033</v>
      </c>
      <c r="AL39">
        <v>28791</v>
      </c>
      <c r="AM39">
        <v>29070</v>
      </c>
      <c r="AN39">
        <v>28771</v>
      </c>
      <c r="AO39">
        <v>29051</v>
      </c>
      <c r="AP39">
        <v>10824</v>
      </c>
      <c r="AQ39">
        <v>11170</v>
      </c>
      <c r="AR39">
        <v>11812</v>
      </c>
      <c r="AS39">
        <v>10367</v>
      </c>
      <c r="AT39">
        <v>8917</v>
      </c>
      <c r="AU39">
        <v>9531</v>
      </c>
      <c r="AV39">
        <v>14675</v>
      </c>
      <c r="AW39">
        <v>13073</v>
      </c>
      <c r="AX39">
        <v>10141</v>
      </c>
      <c r="AY39">
        <v>11244</v>
      </c>
      <c r="AZ39">
        <v>9026</v>
      </c>
      <c r="BA39">
        <v>9785</v>
      </c>
      <c r="BB39">
        <v>9669</v>
      </c>
      <c r="BC39">
        <v>12420</v>
      </c>
    </row>
    <row r="40" spans="1:55" x14ac:dyDescent="0.3">
      <c r="A40">
        <v>2047</v>
      </c>
      <c r="B40">
        <v>8129</v>
      </c>
      <c r="C40">
        <v>8231</v>
      </c>
      <c r="D40">
        <v>7940</v>
      </c>
      <c r="E40">
        <v>8659</v>
      </c>
      <c r="F40">
        <v>8015</v>
      </c>
      <c r="G40">
        <v>14072</v>
      </c>
      <c r="H40">
        <v>13865</v>
      </c>
      <c r="I40">
        <v>14213</v>
      </c>
      <c r="J40">
        <v>13553</v>
      </c>
      <c r="K40">
        <v>14127</v>
      </c>
      <c r="L40">
        <v>18448</v>
      </c>
      <c r="M40">
        <v>18481</v>
      </c>
      <c r="N40">
        <v>18262</v>
      </c>
      <c r="O40">
        <v>18466</v>
      </c>
      <c r="P40">
        <v>18351</v>
      </c>
      <c r="Q40">
        <v>20134</v>
      </c>
      <c r="R40">
        <v>18388</v>
      </c>
      <c r="S40">
        <v>19373</v>
      </c>
      <c r="T40">
        <v>18635</v>
      </c>
      <c r="U40">
        <v>19274</v>
      </c>
      <c r="V40">
        <v>20306</v>
      </c>
      <c r="W40">
        <v>20399</v>
      </c>
      <c r="X40">
        <v>20392</v>
      </c>
      <c r="Y40">
        <v>20393</v>
      </c>
      <c r="Z40">
        <v>20362</v>
      </c>
      <c r="AA40">
        <v>20395</v>
      </c>
      <c r="AB40">
        <v>20356</v>
      </c>
      <c r="AC40">
        <v>20372</v>
      </c>
      <c r="AD40">
        <v>20438</v>
      </c>
      <c r="AE40">
        <v>20444</v>
      </c>
      <c r="AF40">
        <v>37055</v>
      </c>
      <c r="AG40">
        <v>36736</v>
      </c>
      <c r="AH40">
        <v>36929</v>
      </c>
      <c r="AI40">
        <v>36631</v>
      </c>
      <c r="AJ40">
        <v>36645</v>
      </c>
      <c r="AK40">
        <v>29303</v>
      </c>
      <c r="AL40">
        <v>28953</v>
      </c>
      <c r="AM40">
        <v>29216</v>
      </c>
      <c r="AN40">
        <v>28914</v>
      </c>
      <c r="AO40">
        <v>29225</v>
      </c>
      <c r="AP40">
        <v>11970</v>
      </c>
      <c r="AQ40">
        <v>12298</v>
      </c>
      <c r="AR40">
        <v>13004</v>
      </c>
      <c r="AS40">
        <v>11386</v>
      </c>
      <c r="AT40">
        <v>9611</v>
      </c>
      <c r="AU40">
        <v>10387</v>
      </c>
      <c r="AV40">
        <v>15873</v>
      </c>
      <c r="AW40">
        <v>14311</v>
      </c>
      <c r="AX40">
        <v>11178</v>
      </c>
      <c r="AY40">
        <v>12396</v>
      </c>
      <c r="AZ40">
        <v>9833</v>
      </c>
      <c r="BA40">
        <v>10694</v>
      </c>
      <c r="BB40">
        <v>10596</v>
      </c>
      <c r="BC40">
        <v>13533</v>
      </c>
    </row>
    <row r="41" spans="1:55" x14ac:dyDescent="0.3">
      <c r="A41">
        <v>2048</v>
      </c>
      <c r="B41">
        <v>8626</v>
      </c>
      <c r="C41">
        <v>8734</v>
      </c>
      <c r="D41">
        <v>8439</v>
      </c>
      <c r="E41">
        <v>9216</v>
      </c>
      <c r="F41">
        <v>8515</v>
      </c>
      <c r="G41">
        <v>14796</v>
      </c>
      <c r="H41">
        <v>14613</v>
      </c>
      <c r="I41">
        <v>15029</v>
      </c>
      <c r="J41">
        <v>14274</v>
      </c>
      <c r="K41">
        <v>14842</v>
      </c>
      <c r="L41">
        <v>19174</v>
      </c>
      <c r="M41">
        <v>19160</v>
      </c>
      <c r="N41">
        <v>18996</v>
      </c>
      <c r="O41">
        <v>19195</v>
      </c>
      <c r="P41">
        <v>19165</v>
      </c>
      <c r="Q41">
        <v>20838</v>
      </c>
      <c r="R41">
        <v>19421</v>
      </c>
      <c r="S41">
        <v>20357</v>
      </c>
      <c r="T41">
        <v>19690</v>
      </c>
      <c r="U41">
        <v>20264</v>
      </c>
      <c r="V41">
        <v>21072</v>
      </c>
      <c r="W41">
        <v>21110</v>
      </c>
      <c r="X41">
        <v>21114</v>
      </c>
      <c r="Y41">
        <v>21106</v>
      </c>
      <c r="Z41">
        <v>21074</v>
      </c>
      <c r="AA41">
        <v>21057</v>
      </c>
      <c r="AB41">
        <v>21033</v>
      </c>
      <c r="AC41">
        <v>21017</v>
      </c>
      <c r="AD41">
        <v>21111</v>
      </c>
      <c r="AE41">
        <v>21124</v>
      </c>
      <c r="AF41">
        <v>37490</v>
      </c>
      <c r="AG41">
        <v>37315</v>
      </c>
      <c r="AH41">
        <v>37268</v>
      </c>
      <c r="AI41">
        <v>37253</v>
      </c>
      <c r="AJ41">
        <v>37149</v>
      </c>
      <c r="AK41">
        <v>29429</v>
      </c>
      <c r="AL41">
        <v>29094</v>
      </c>
      <c r="AM41">
        <v>29363</v>
      </c>
      <c r="AN41">
        <v>29121</v>
      </c>
      <c r="AO41">
        <v>29431</v>
      </c>
      <c r="AP41">
        <v>13142</v>
      </c>
      <c r="AQ41">
        <v>13506</v>
      </c>
      <c r="AR41">
        <v>14138</v>
      </c>
      <c r="AS41">
        <v>12492</v>
      </c>
      <c r="AT41">
        <v>10380</v>
      </c>
      <c r="AU41">
        <v>11364</v>
      </c>
      <c r="AV41">
        <v>17137</v>
      </c>
      <c r="AW41">
        <v>15495</v>
      </c>
      <c r="AX41">
        <v>12356</v>
      </c>
      <c r="AY41">
        <v>13584</v>
      </c>
      <c r="AZ41">
        <v>10728</v>
      </c>
      <c r="BA41">
        <v>11781</v>
      </c>
      <c r="BB41">
        <v>11627</v>
      </c>
      <c r="BC41">
        <v>14705</v>
      </c>
    </row>
    <row r="42" spans="1:55" x14ac:dyDescent="0.3">
      <c r="A42">
        <v>2049</v>
      </c>
      <c r="B42">
        <v>9099</v>
      </c>
      <c r="C42">
        <v>9204</v>
      </c>
      <c r="D42">
        <v>8929</v>
      </c>
      <c r="E42">
        <v>9650</v>
      </c>
      <c r="F42">
        <v>8987</v>
      </c>
      <c r="G42">
        <v>15277</v>
      </c>
      <c r="H42">
        <v>15125</v>
      </c>
      <c r="I42">
        <v>15598</v>
      </c>
      <c r="J42">
        <v>14779</v>
      </c>
      <c r="K42">
        <v>15326</v>
      </c>
      <c r="L42">
        <v>19674</v>
      </c>
      <c r="M42">
        <v>19655</v>
      </c>
      <c r="N42">
        <v>19527</v>
      </c>
      <c r="O42">
        <v>19693</v>
      </c>
      <c r="P42">
        <v>19728</v>
      </c>
      <c r="Q42">
        <v>21519</v>
      </c>
      <c r="R42">
        <v>20410</v>
      </c>
      <c r="S42">
        <v>21109</v>
      </c>
      <c r="T42">
        <v>20640</v>
      </c>
      <c r="U42">
        <v>21094</v>
      </c>
      <c r="V42">
        <v>21696</v>
      </c>
      <c r="W42">
        <v>21693</v>
      </c>
      <c r="X42">
        <v>21693</v>
      </c>
      <c r="Y42">
        <v>21678</v>
      </c>
      <c r="Z42">
        <v>21648</v>
      </c>
      <c r="AA42">
        <v>21661</v>
      </c>
      <c r="AB42">
        <v>21601</v>
      </c>
      <c r="AC42">
        <v>21600</v>
      </c>
      <c r="AD42">
        <v>21677</v>
      </c>
      <c r="AE42">
        <v>21648</v>
      </c>
      <c r="AF42">
        <v>38159</v>
      </c>
      <c r="AG42">
        <v>37857</v>
      </c>
      <c r="AH42">
        <v>37876</v>
      </c>
      <c r="AI42">
        <v>37927</v>
      </c>
      <c r="AJ42">
        <v>37684</v>
      </c>
      <c r="AK42">
        <v>29634</v>
      </c>
      <c r="AL42">
        <v>29348</v>
      </c>
      <c r="AM42">
        <v>29575</v>
      </c>
      <c r="AN42">
        <v>29325</v>
      </c>
      <c r="AO42">
        <v>29590</v>
      </c>
      <c r="AP42">
        <v>14268</v>
      </c>
      <c r="AQ42">
        <v>14691</v>
      </c>
      <c r="AR42">
        <v>15194</v>
      </c>
      <c r="AS42">
        <v>13600</v>
      </c>
      <c r="AT42">
        <v>11266</v>
      </c>
      <c r="AU42">
        <v>12458</v>
      </c>
      <c r="AV42">
        <v>18286</v>
      </c>
      <c r="AW42">
        <v>16623</v>
      </c>
      <c r="AX42">
        <v>13569</v>
      </c>
      <c r="AY42">
        <v>14738</v>
      </c>
      <c r="AZ42">
        <v>11710</v>
      </c>
      <c r="BA42">
        <v>12902</v>
      </c>
      <c r="BB42">
        <v>12738</v>
      </c>
      <c r="BC42">
        <v>15895</v>
      </c>
    </row>
    <row r="43" spans="1:55" x14ac:dyDescent="0.3">
      <c r="A43">
        <v>2050</v>
      </c>
      <c r="B43">
        <v>9578</v>
      </c>
      <c r="C43">
        <v>9645</v>
      </c>
      <c r="D43">
        <v>9433</v>
      </c>
      <c r="E43">
        <v>10083</v>
      </c>
      <c r="F43">
        <v>9465</v>
      </c>
      <c r="G43">
        <v>15912</v>
      </c>
      <c r="H43">
        <v>15763</v>
      </c>
      <c r="I43">
        <v>16153</v>
      </c>
      <c r="J43">
        <v>15395</v>
      </c>
      <c r="K43">
        <v>15939</v>
      </c>
      <c r="L43">
        <v>20242</v>
      </c>
      <c r="M43">
        <v>20290</v>
      </c>
      <c r="N43">
        <v>20162</v>
      </c>
      <c r="O43">
        <v>20292</v>
      </c>
      <c r="P43">
        <v>20281</v>
      </c>
      <c r="Q43">
        <v>22126</v>
      </c>
      <c r="R43">
        <v>21172</v>
      </c>
      <c r="S43">
        <v>21698</v>
      </c>
      <c r="T43">
        <v>21330</v>
      </c>
      <c r="U43">
        <v>21658</v>
      </c>
      <c r="V43">
        <v>22199</v>
      </c>
      <c r="W43">
        <v>22143</v>
      </c>
      <c r="X43">
        <v>22144</v>
      </c>
      <c r="Y43">
        <v>22193</v>
      </c>
      <c r="Z43">
        <v>22119</v>
      </c>
      <c r="AA43">
        <v>22226</v>
      </c>
      <c r="AB43">
        <v>22167</v>
      </c>
      <c r="AC43">
        <v>22167</v>
      </c>
      <c r="AD43">
        <v>22189</v>
      </c>
      <c r="AE43">
        <v>22125</v>
      </c>
      <c r="AF43">
        <v>38496</v>
      </c>
      <c r="AG43">
        <v>38050</v>
      </c>
      <c r="AH43">
        <v>38220</v>
      </c>
      <c r="AI43">
        <v>38147</v>
      </c>
      <c r="AJ43">
        <v>37910</v>
      </c>
      <c r="AK43">
        <v>29711</v>
      </c>
      <c r="AL43">
        <v>29446</v>
      </c>
      <c r="AM43">
        <v>29698</v>
      </c>
      <c r="AN43">
        <v>29426</v>
      </c>
      <c r="AO43">
        <v>29673</v>
      </c>
      <c r="AP43">
        <v>15469</v>
      </c>
      <c r="AQ43">
        <v>15864</v>
      </c>
      <c r="AR43">
        <v>16299</v>
      </c>
      <c r="AS43">
        <v>14708</v>
      </c>
      <c r="AT43">
        <v>12223</v>
      </c>
      <c r="AU43">
        <v>13598</v>
      </c>
      <c r="AV43">
        <v>19392</v>
      </c>
      <c r="AW43">
        <v>17788</v>
      </c>
      <c r="AX43">
        <v>14786</v>
      </c>
      <c r="AY43">
        <v>15872</v>
      </c>
      <c r="AZ43">
        <v>12787</v>
      </c>
      <c r="BA43">
        <v>14009</v>
      </c>
      <c r="BB43">
        <v>13896</v>
      </c>
      <c r="BC43">
        <v>17047</v>
      </c>
    </row>
    <row r="48" spans="1:55" x14ac:dyDescent="0.3">
      <c r="A48" t="s">
        <v>70</v>
      </c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</row>
    <row r="49" spans="1:55" x14ac:dyDescent="0.3">
      <c r="A49" t="s">
        <v>71</v>
      </c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</row>
    <row r="50" spans="1:55" x14ac:dyDescent="0.3">
      <c r="A50" t="s">
        <v>72</v>
      </c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</row>
    <row r="51" spans="1:55" x14ac:dyDescent="0.3">
      <c r="A51" t="s">
        <v>73</v>
      </c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</row>
    <row r="52" spans="1:55" x14ac:dyDescent="0.3">
      <c r="A52" t="s">
        <v>74</v>
      </c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</row>
    <row r="53" spans="1:55" x14ac:dyDescent="0.3">
      <c r="A53" t="s">
        <v>75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B53" t="s">
        <v>14</v>
      </c>
      <c r="AC53" t="s">
        <v>14</v>
      </c>
      <c r="AD53" t="s">
        <v>14</v>
      </c>
      <c r="AE53" t="s">
        <v>14</v>
      </c>
      <c r="AF53" t="s">
        <v>14</v>
      </c>
      <c r="AG53" t="s">
        <v>14</v>
      </c>
      <c r="AH53" t="s">
        <v>14</v>
      </c>
      <c r="AI53" t="s">
        <v>14</v>
      </c>
      <c r="AJ53" t="s">
        <v>14</v>
      </c>
      <c r="AK53" t="s">
        <v>14</v>
      </c>
      <c r="AL53" t="s">
        <v>14</v>
      </c>
      <c r="AM53" t="s">
        <v>14</v>
      </c>
      <c r="AN53" t="s">
        <v>14</v>
      </c>
      <c r="AO53" t="s">
        <v>14</v>
      </c>
      <c r="AP53" t="s">
        <v>14</v>
      </c>
      <c r="AQ53" t="s">
        <v>14</v>
      </c>
      <c r="AR53" t="s">
        <v>14</v>
      </c>
      <c r="AS53" t="s">
        <v>14</v>
      </c>
      <c r="AT53" t="s">
        <v>14</v>
      </c>
      <c r="AU53" t="s">
        <v>14</v>
      </c>
      <c r="AV53" t="s">
        <v>14</v>
      </c>
      <c r="AW53" t="s">
        <v>14</v>
      </c>
      <c r="AX53" t="s">
        <v>14</v>
      </c>
      <c r="AY53" t="s">
        <v>14</v>
      </c>
      <c r="AZ53" t="s">
        <v>14</v>
      </c>
      <c r="BA53" t="s">
        <v>14</v>
      </c>
      <c r="BB53" t="s">
        <v>14</v>
      </c>
      <c r="BC53" t="s">
        <v>14</v>
      </c>
    </row>
    <row r="54" spans="1:55" x14ac:dyDescent="0.3">
      <c r="A54" t="s">
        <v>76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</row>
    <row r="55" spans="1:55" x14ac:dyDescent="0.3">
      <c r="A55" t="s">
        <v>77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</row>
    <row r="56" spans="1:55" x14ac:dyDescent="0.3">
      <c r="A56" t="s">
        <v>78</v>
      </c>
      <c r="B56">
        <v>2</v>
      </c>
      <c r="C56">
        <v>2</v>
      </c>
      <c r="D56">
        <v>2</v>
      </c>
      <c r="E56">
        <v>2</v>
      </c>
      <c r="F56">
        <v>2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2</v>
      </c>
      <c r="R56">
        <v>2</v>
      </c>
      <c r="S56">
        <v>2</v>
      </c>
      <c r="T56">
        <v>2</v>
      </c>
      <c r="U56">
        <v>2</v>
      </c>
      <c r="V56">
        <v>4</v>
      </c>
      <c r="W56">
        <v>4</v>
      </c>
      <c r="X56">
        <v>4</v>
      </c>
      <c r="Y56">
        <v>4</v>
      </c>
      <c r="Z56">
        <v>4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</row>
    <row r="57" spans="1:55" x14ac:dyDescent="0.3">
      <c r="A57" t="s">
        <v>79</v>
      </c>
      <c r="B57">
        <v>4</v>
      </c>
      <c r="C57">
        <v>4</v>
      </c>
      <c r="D57">
        <v>4</v>
      </c>
      <c r="E57">
        <v>4</v>
      </c>
      <c r="F57">
        <v>4</v>
      </c>
      <c r="G57">
        <v>2</v>
      </c>
      <c r="H57">
        <v>2</v>
      </c>
      <c r="I57">
        <v>2</v>
      </c>
      <c r="J57">
        <v>2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</row>
    <row r="58" spans="1:55" x14ac:dyDescent="0.3">
      <c r="A58" t="s">
        <v>80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30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30</v>
      </c>
      <c r="AO58">
        <v>30</v>
      </c>
      <c r="AP58">
        <v>30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</row>
    <row r="59" spans="1:55" x14ac:dyDescent="0.3">
      <c r="A59" t="s">
        <v>81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</row>
    <row r="60" spans="1:55" x14ac:dyDescent="0.3">
      <c r="A60" t="s">
        <v>82</v>
      </c>
      <c r="B60" t="s">
        <v>15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15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15</v>
      </c>
      <c r="AG60" t="s">
        <v>15</v>
      </c>
      <c r="AH60" t="s">
        <v>15</v>
      </c>
      <c r="AI60" t="s">
        <v>15</v>
      </c>
      <c r="AJ60" t="s">
        <v>15</v>
      </c>
      <c r="AK60" t="s">
        <v>69</v>
      </c>
      <c r="AL60" t="s">
        <v>69</v>
      </c>
      <c r="AM60" t="s">
        <v>69</v>
      </c>
      <c r="AN60" t="s">
        <v>69</v>
      </c>
      <c r="AO60" t="s">
        <v>69</v>
      </c>
      <c r="AP60" t="s">
        <v>15</v>
      </c>
      <c r="AQ60" t="s">
        <v>15</v>
      </c>
      <c r="AR60" t="s">
        <v>15</v>
      </c>
      <c r="AS60" t="s">
        <v>15</v>
      </c>
      <c r="AT60" t="s">
        <v>15</v>
      </c>
      <c r="AU60" t="s">
        <v>15</v>
      </c>
      <c r="AV60" t="s">
        <v>15</v>
      </c>
      <c r="AW60" t="s">
        <v>15</v>
      </c>
      <c r="AX60" t="s">
        <v>15</v>
      </c>
      <c r="AY60" t="s">
        <v>15</v>
      </c>
      <c r="AZ60" t="s">
        <v>15</v>
      </c>
      <c r="BA60" t="s">
        <v>15</v>
      </c>
      <c r="BB60" t="s">
        <v>15</v>
      </c>
      <c r="BC60" t="s">
        <v>15</v>
      </c>
    </row>
    <row r="62" spans="1:55" x14ac:dyDescent="0.3">
      <c r="A62" t="s">
        <v>93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90</v>
      </c>
      <c r="AG62" t="s">
        <v>90</v>
      </c>
      <c r="AH62" t="s">
        <v>90</v>
      </c>
      <c r="AI62" t="s">
        <v>90</v>
      </c>
      <c r="AJ62" t="s">
        <v>90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</row>
    <row r="63" spans="1:55" x14ac:dyDescent="0.3">
      <c r="A63" t="s">
        <v>83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9</v>
      </c>
      <c r="AQ63">
        <v>9</v>
      </c>
      <c r="AR63">
        <v>9</v>
      </c>
      <c r="AS63">
        <v>9</v>
      </c>
      <c r="AT6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862-903B-4EFE-BB71-DB2E5DC93A36}">
  <dimension ref="A1:BC63"/>
  <sheetViews>
    <sheetView topLeftCell="V28" workbookViewId="0">
      <selection activeCell="AK53" sqref="AK53"/>
    </sheetView>
  </sheetViews>
  <sheetFormatPr defaultRowHeight="14.4" x14ac:dyDescent="0.3"/>
  <sheetData>
    <row r="1" spans="1:55" x14ac:dyDescent="0.3">
      <c r="A1" t="s">
        <v>0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</row>
    <row r="2" spans="1:55" x14ac:dyDescent="0.3">
      <c r="A2">
        <v>2009</v>
      </c>
      <c r="B2">
        <v>447</v>
      </c>
      <c r="C2">
        <v>447</v>
      </c>
      <c r="D2">
        <v>447</v>
      </c>
      <c r="E2">
        <v>447</v>
      </c>
      <c r="F2">
        <v>447</v>
      </c>
      <c r="G2">
        <v>447</v>
      </c>
      <c r="H2">
        <v>447</v>
      </c>
      <c r="I2">
        <v>447</v>
      </c>
      <c r="J2">
        <v>447</v>
      </c>
      <c r="K2">
        <v>447</v>
      </c>
      <c r="L2">
        <v>447</v>
      </c>
      <c r="M2">
        <v>447</v>
      </c>
      <c r="N2">
        <v>447</v>
      </c>
      <c r="O2">
        <v>447</v>
      </c>
      <c r="P2">
        <v>447</v>
      </c>
      <c r="Q2">
        <v>447</v>
      </c>
      <c r="R2">
        <v>447</v>
      </c>
      <c r="S2">
        <v>447</v>
      </c>
      <c r="T2">
        <v>447</v>
      </c>
      <c r="U2">
        <v>447</v>
      </c>
      <c r="V2">
        <v>447</v>
      </c>
      <c r="W2">
        <v>447</v>
      </c>
      <c r="X2">
        <v>447</v>
      </c>
      <c r="Y2">
        <v>447</v>
      </c>
      <c r="Z2">
        <v>447</v>
      </c>
      <c r="AA2">
        <v>447</v>
      </c>
      <c r="AB2">
        <v>447</v>
      </c>
      <c r="AC2">
        <v>447</v>
      </c>
      <c r="AD2">
        <v>447</v>
      </c>
      <c r="AE2">
        <v>447</v>
      </c>
      <c r="AF2">
        <v>447</v>
      </c>
      <c r="AG2">
        <v>447</v>
      </c>
      <c r="AH2">
        <v>447</v>
      </c>
      <c r="AI2">
        <v>447</v>
      </c>
      <c r="AJ2">
        <v>447</v>
      </c>
      <c r="AK2">
        <v>447</v>
      </c>
      <c r="AL2">
        <v>447</v>
      </c>
      <c r="AM2">
        <v>447</v>
      </c>
      <c r="AN2">
        <v>447</v>
      </c>
      <c r="AO2">
        <v>447</v>
      </c>
      <c r="AP2">
        <v>447</v>
      </c>
      <c r="AQ2">
        <v>447</v>
      </c>
      <c r="AR2">
        <v>447</v>
      </c>
      <c r="AS2">
        <v>447</v>
      </c>
      <c r="AT2">
        <v>447</v>
      </c>
      <c r="AU2">
        <v>447</v>
      </c>
      <c r="AV2">
        <v>447</v>
      </c>
      <c r="AW2">
        <v>447</v>
      </c>
      <c r="AX2">
        <v>447</v>
      </c>
      <c r="AY2">
        <v>447</v>
      </c>
      <c r="AZ2">
        <v>447</v>
      </c>
      <c r="BA2">
        <v>447</v>
      </c>
      <c r="BB2">
        <v>447</v>
      </c>
      <c r="BC2">
        <v>447</v>
      </c>
    </row>
    <row r="3" spans="1:55" x14ac:dyDescent="0.3">
      <c r="A3">
        <v>2010</v>
      </c>
      <c r="B3">
        <v>447</v>
      </c>
      <c r="C3">
        <v>447</v>
      </c>
      <c r="D3">
        <v>447</v>
      </c>
      <c r="E3">
        <v>447</v>
      </c>
      <c r="F3">
        <v>447</v>
      </c>
      <c r="G3">
        <v>447</v>
      </c>
      <c r="H3">
        <v>447</v>
      </c>
      <c r="I3">
        <v>447</v>
      </c>
      <c r="J3">
        <v>447</v>
      </c>
      <c r="K3">
        <v>447</v>
      </c>
      <c r="L3">
        <v>447</v>
      </c>
      <c r="M3">
        <v>447</v>
      </c>
      <c r="N3">
        <v>447</v>
      </c>
      <c r="O3">
        <v>447</v>
      </c>
      <c r="P3">
        <v>447</v>
      </c>
      <c r="Q3">
        <v>447</v>
      </c>
      <c r="R3">
        <v>447</v>
      </c>
      <c r="S3">
        <v>447</v>
      </c>
      <c r="T3">
        <v>447</v>
      </c>
      <c r="U3">
        <v>447</v>
      </c>
      <c r="V3">
        <v>447</v>
      </c>
      <c r="W3">
        <v>447</v>
      </c>
      <c r="X3">
        <v>447</v>
      </c>
      <c r="Y3">
        <v>447</v>
      </c>
      <c r="Z3">
        <v>447</v>
      </c>
      <c r="AA3">
        <v>447</v>
      </c>
      <c r="AB3">
        <v>447</v>
      </c>
      <c r="AC3">
        <v>447</v>
      </c>
      <c r="AD3">
        <v>447</v>
      </c>
      <c r="AE3">
        <v>447</v>
      </c>
      <c r="AF3">
        <v>447</v>
      </c>
      <c r="AG3">
        <v>447</v>
      </c>
      <c r="AH3">
        <v>447</v>
      </c>
      <c r="AI3">
        <v>447</v>
      </c>
      <c r="AJ3">
        <v>447</v>
      </c>
      <c r="AK3">
        <v>447</v>
      </c>
      <c r="AL3">
        <v>447</v>
      </c>
      <c r="AM3">
        <v>447</v>
      </c>
      <c r="AN3">
        <v>447</v>
      </c>
      <c r="AO3">
        <v>447</v>
      </c>
      <c r="AP3">
        <v>447</v>
      </c>
      <c r="AQ3">
        <v>447</v>
      </c>
      <c r="AR3">
        <v>447</v>
      </c>
      <c r="AS3">
        <v>447</v>
      </c>
      <c r="AT3">
        <v>447</v>
      </c>
      <c r="AU3">
        <v>447</v>
      </c>
      <c r="AV3">
        <v>447</v>
      </c>
      <c r="AW3">
        <v>447</v>
      </c>
      <c r="AX3">
        <v>447</v>
      </c>
      <c r="AY3">
        <v>447</v>
      </c>
      <c r="AZ3">
        <v>447</v>
      </c>
      <c r="BA3">
        <v>447</v>
      </c>
      <c r="BB3">
        <v>447</v>
      </c>
      <c r="BC3">
        <v>447</v>
      </c>
    </row>
    <row r="4" spans="1:55" x14ac:dyDescent="0.3">
      <c r="A4">
        <v>2011</v>
      </c>
      <c r="B4">
        <v>20562</v>
      </c>
      <c r="C4">
        <v>20562</v>
      </c>
      <c r="D4">
        <v>20562</v>
      </c>
      <c r="E4">
        <v>20562</v>
      </c>
      <c r="F4">
        <v>20562</v>
      </c>
      <c r="G4">
        <v>20562</v>
      </c>
      <c r="H4">
        <v>20562</v>
      </c>
      <c r="I4">
        <v>20562</v>
      </c>
      <c r="J4">
        <v>20562</v>
      </c>
      <c r="K4">
        <v>20562</v>
      </c>
      <c r="L4">
        <v>20562</v>
      </c>
      <c r="M4">
        <v>20562</v>
      </c>
      <c r="N4">
        <v>20562</v>
      </c>
      <c r="O4">
        <v>20562</v>
      </c>
      <c r="P4">
        <v>20562</v>
      </c>
      <c r="Q4">
        <v>20562</v>
      </c>
      <c r="R4">
        <v>20562</v>
      </c>
      <c r="S4">
        <v>20562</v>
      </c>
      <c r="T4">
        <v>20562</v>
      </c>
      <c r="U4">
        <v>20562</v>
      </c>
      <c r="V4">
        <v>20562</v>
      </c>
      <c r="W4">
        <v>20562</v>
      </c>
      <c r="X4">
        <v>20562</v>
      </c>
      <c r="Y4">
        <v>20562</v>
      </c>
      <c r="Z4">
        <v>20562</v>
      </c>
      <c r="AA4">
        <v>20562</v>
      </c>
      <c r="AB4">
        <v>20562</v>
      </c>
      <c r="AC4">
        <v>20562</v>
      </c>
      <c r="AD4">
        <v>20562</v>
      </c>
      <c r="AE4">
        <v>20562</v>
      </c>
      <c r="AF4">
        <v>20562</v>
      </c>
      <c r="AG4">
        <v>20562</v>
      </c>
      <c r="AH4">
        <v>20562</v>
      </c>
      <c r="AI4">
        <v>20562</v>
      </c>
      <c r="AJ4">
        <v>20562</v>
      </c>
      <c r="AK4">
        <v>20562</v>
      </c>
      <c r="AL4">
        <v>20562</v>
      </c>
      <c r="AM4">
        <v>20562</v>
      </c>
      <c r="AN4">
        <v>20562</v>
      </c>
      <c r="AO4">
        <v>20562</v>
      </c>
      <c r="AP4">
        <v>20562</v>
      </c>
      <c r="AQ4">
        <v>20562</v>
      </c>
      <c r="AR4">
        <v>20562</v>
      </c>
      <c r="AS4">
        <v>20562</v>
      </c>
      <c r="AT4">
        <v>20562</v>
      </c>
      <c r="AU4">
        <v>20562</v>
      </c>
      <c r="AV4">
        <v>20562</v>
      </c>
      <c r="AW4">
        <v>20562</v>
      </c>
      <c r="AX4">
        <v>20562</v>
      </c>
      <c r="AY4">
        <v>20562</v>
      </c>
      <c r="AZ4">
        <v>20562</v>
      </c>
      <c r="BA4">
        <v>20562</v>
      </c>
      <c r="BB4">
        <v>20562</v>
      </c>
      <c r="BC4">
        <v>20562</v>
      </c>
    </row>
    <row r="5" spans="1:55" x14ac:dyDescent="0.3">
      <c r="A5">
        <v>2012</v>
      </c>
      <c r="B5">
        <v>23691</v>
      </c>
      <c r="C5">
        <v>23691</v>
      </c>
      <c r="D5">
        <v>23691</v>
      </c>
      <c r="E5">
        <v>23691</v>
      </c>
      <c r="F5">
        <v>23691</v>
      </c>
      <c r="G5">
        <v>23691</v>
      </c>
      <c r="H5">
        <v>23691</v>
      </c>
      <c r="I5">
        <v>23691</v>
      </c>
      <c r="J5">
        <v>23691</v>
      </c>
      <c r="K5">
        <v>23691</v>
      </c>
      <c r="L5">
        <v>23691</v>
      </c>
      <c r="M5">
        <v>23691</v>
      </c>
      <c r="N5">
        <v>23691</v>
      </c>
      <c r="O5">
        <v>23691</v>
      </c>
      <c r="P5">
        <v>23691</v>
      </c>
      <c r="Q5">
        <v>23691</v>
      </c>
      <c r="R5">
        <v>23691</v>
      </c>
      <c r="S5">
        <v>23691</v>
      </c>
      <c r="T5">
        <v>23691</v>
      </c>
      <c r="U5">
        <v>23691</v>
      </c>
      <c r="V5">
        <v>23691</v>
      </c>
      <c r="W5">
        <v>23691</v>
      </c>
      <c r="X5">
        <v>23691</v>
      </c>
      <c r="Y5">
        <v>23691</v>
      </c>
      <c r="Z5">
        <v>23691</v>
      </c>
      <c r="AA5">
        <v>23691</v>
      </c>
      <c r="AB5">
        <v>23691</v>
      </c>
      <c r="AC5">
        <v>23691</v>
      </c>
      <c r="AD5">
        <v>23691</v>
      </c>
      <c r="AE5">
        <v>23691</v>
      </c>
      <c r="AF5">
        <v>23691</v>
      </c>
      <c r="AG5">
        <v>23691</v>
      </c>
      <c r="AH5">
        <v>23691</v>
      </c>
      <c r="AI5">
        <v>23691</v>
      </c>
      <c r="AJ5">
        <v>23691</v>
      </c>
      <c r="AK5">
        <v>23691</v>
      </c>
      <c r="AL5">
        <v>23691</v>
      </c>
      <c r="AM5">
        <v>23691</v>
      </c>
      <c r="AN5">
        <v>23691</v>
      </c>
      <c r="AO5">
        <v>23691</v>
      </c>
      <c r="AP5">
        <v>23691</v>
      </c>
      <c r="AQ5">
        <v>23691</v>
      </c>
      <c r="AR5">
        <v>23691</v>
      </c>
      <c r="AS5">
        <v>23691</v>
      </c>
      <c r="AT5">
        <v>23691</v>
      </c>
      <c r="AU5">
        <v>23691</v>
      </c>
      <c r="AV5">
        <v>23691</v>
      </c>
      <c r="AW5">
        <v>23691</v>
      </c>
      <c r="AX5">
        <v>23691</v>
      </c>
      <c r="AY5">
        <v>23691</v>
      </c>
      <c r="AZ5">
        <v>23691</v>
      </c>
      <c r="BA5">
        <v>23691</v>
      </c>
      <c r="BB5">
        <v>23691</v>
      </c>
      <c r="BC5">
        <v>23691</v>
      </c>
    </row>
    <row r="6" spans="1:55" x14ac:dyDescent="0.3">
      <c r="A6">
        <v>2013</v>
      </c>
      <c r="B6">
        <v>32184</v>
      </c>
      <c r="C6">
        <v>32184</v>
      </c>
      <c r="D6">
        <v>32184</v>
      </c>
      <c r="E6">
        <v>32184</v>
      </c>
      <c r="F6">
        <v>32184</v>
      </c>
      <c r="G6">
        <v>32184</v>
      </c>
      <c r="H6">
        <v>32184</v>
      </c>
      <c r="I6">
        <v>32184</v>
      </c>
      <c r="J6">
        <v>32184</v>
      </c>
      <c r="K6">
        <v>32184</v>
      </c>
      <c r="L6">
        <v>32184</v>
      </c>
      <c r="M6">
        <v>32184</v>
      </c>
      <c r="N6">
        <v>32184</v>
      </c>
      <c r="O6">
        <v>32184</v>
      </c>
      <c r="P6">
        <v>32184</v>
      </c>
      <c r="Q6">
        <v>32184</v>
      </c>
      <c r="R6">
        <v>32184</v>
      </c>
      <c r="S6">
        <v>32184</v>
      </c>
      <c r="T6">
        <v>32184</v>
      </c>
      <c r="U6">
        <v>32184</v>
      </c>
      <c r="V6">
        <v>32184</v>
      </c>
      <c r="W6">
        <v>32184</v>
      </c>
      <c r="X6">
        <v>32184</v>
      </c>
      <c r="Y6">
        <v>32184</v>
      </c>
      <c r="Z6">
        <v>32184</v>
      </c>
      <c r="AA6">
        <v>32184</v>
      </c>
      <c r="AB6">
        <v>32184</v>
      </c>
      <c r="AC6">
        <v>32184</v>
      </c>
      <c r="AD6">
        <v>32184</v>
      </c>
      <c r="AE6">
        <v>32184</v>
      </c>
      <c r="AF6">
        <v>32184</v>
      </c>
      <c r="AG6">
        <v>32184</v>
      </c>
      <c r="AH6">
        <v>32184</v>
      </c>
      <c r="AI6">
        <v>32184</v>
      </c>
      <c r="AJ6">
        <v>32184</v>
      </c>
      <c r="AK6">
        <v>32184</v>
      </c>
      <c r="AL6">
        <v>32184</v>
      </c>
      <c r="AM6">
        <v>32184</v>
      </c>
      <c r="AN6">
        <v>32184</v>
      </c>
      <c r="AO6">
        <v>32184</v>
      </c>
      <c r="AP6">
        <v>32184</v>
      </c>
      <c r="AQ6">
        <v>32184</v>
      </c>
      <c r="AR6">
        <v>32184</v>
      </c>
      <c r="AS6">
        <v>32184</v>
      </c>
      <c r="AT6">
        <v>32184</v>
      </c>
      <c r="AU6">
        <v>32184</v>
      </c>
      <c r="AV6">
        <v>32184</v>
      </c>
      <c r="AW6">
        <v>32184</v>
      </c>
      <c r="AX6">
        <v>32184</v>
      </c>
      <c r="AY6">
        <v>32184</v>
      </c>
      <c r="AZ6">
        <v>32184</v>
      </c>
      <c r="BA6">
        <v>32184</v>
      </c>
      <c r="BB6">
        <v>32184</v>
      </c>
      <c r="BC6">
        <v>32184</v>
      </c>
    </row>
    <row r="7" spans="1:55" x14ac:dyDescent="0.3">
      <c r="A7">
        <v>2014</v>
      </c>
      <c r="B7">
        <v>44700</v>
      </c>
      <c r="C7">
        <v>44700</v>
      </c>
      <c r="D7">
        <v>44700</v>
      </c>
      <c r="E7">
        <v>44700</v>
      </c>
      <c r="F7">
        <v>44700</v>
      </c>
      <c r="G7">
        <v>44700</v>
      </c>
      <c r="H7">
        <v>44700</v>
      </c>
      <c r="I7">
        <v>44700</v>
      </c>
      <c r="J7">
        <v>44700</v>
      </c>
      <c r="K7">
        <v>44700</v>
      </c>
      <c r="L7">
        <v>44700</v>
      </c>
      <c r="M7">
        <v>44700</v>
      </c>
      <c r="N7">
        <v>44700</v>
      </c>
      <c r="O7">
        <v>44700</v>
      </c>
      <c r="P7">
        <v>44700</v>
      </c>
      <c r="Q7">
        <v>44700</v>
      </c>
      <c r="R7">
        <v>44700</v>
      </c>
      <c r="S7">
        <v>44700</v>
      </c>
      <c r="T7">
        <v>44700</v>
      </c>
      <c r="U7">
        <v>44700</v>
      </c>
      <c r="V7">
        <v>44700</v>
      </c>
      <c r="W7">
        <v>44700</v>
      </c>
      <c r="X7">
        <v>44700</v>
      </c>
      <c r="Y7">
        <v>44700</v>
      </c>
      <c r="Z7">
        <v>44700</v>
      </c>
      <c r="AA7">
        <v>44700</v>
      </c>
      <c r="AB7">
        <v>44700</v>
      </c>
      <c r="AC7">
        <v>44700</v>
      </c>
      <c r="AD7">
        <v>44700</v>
      </c>
      <c r="AE7">
        <v>44700</v>
      </c>
      <c r="AF7">
        <v>44700</v>
      </c>
      <c r="AG7">
        <v>44700</v>
      </c>
      <c r="AH7">
        <v>44700</v>
      </c>
      <c r="AI7">
        <v>44700</v>
      </c>
      <c r="AJ7">
        <v>44700</v>
      </c>
      <c r="AK7">
        <v>44700</v>
      </c>
      <c r="AL7">
        <v>44700</v>
      </c>
      <c r="AM7">
        <v>44700</v>
      </c>
      <c r="AN7">
        <v>44700</v>
      </c>
      <c r="AO7">
        <v>44700</v>
      </c>
      <c r="AP7">
        <v>44700</v>
      </c>
      <c r="AQ7">
        <v>44700</v>
      </c>
      <c r="AR7">
        <v>44700</v>
      </c>
      <c r="AS7">
        <v>44700</v>
      </c>
      <c r="AT7">
        <v>44700</v>
      </c>
      <c r="AU7">
        <v>44700</v>
      </c>
      <c r="AV7">
        <v>44700</v>
      </c>
      <c r="AW7">
        <v>44700</v>
      </c>
      <c r="AX7">
        <v>44700</v>
      </c>
      <c r="AY7">
        <v>44700</v>
      </c>
      <c r="AZ7">
        <v>44700</v>
      </c>
      <c r="BA7">
        <v>44700</v>
      </c>
      <c r="BB7">
        <v>44700</v>
      </c>
      <c r="BC7">
        <v>44700</v>
      </c>
    </row>
    <row r="8" spans="1:55" x14ac:dyDescent="0.3">
      <c r="A8">
        <v>2015</v>
      </c>
      <c r="B8">
        <v>68391</v>
      </c>
      <c r="C8">
        <v>68391</v>
      </c>
      <c r="D8">
        <v>68391</v>
      </c>
      <c r="E8">
        <v>68391</v>
      </c>
      <c r="F8">
        <v>68391</v>
      </c>
      <c r="G8">
        <v>68391</v>
      </c>
      <c r="H8">
        <v>68391</v>
      </c>
      <c r="I8">
        <v>68391</v>
      </c>
      <c r="J8">
        <v>68391</v>
      </c>
      <c r="K8">
        <v>68391</v>
      </c>
      <c r="L8">
        <v>68391</v>
      </c>
      <c r="M8">
        <v>68391</v>
      </c>
      <c r="N8">
        <v>68391</v>
      </c>
      <c r="O8">
        <v>68391</v>
      </c>
      <c r="P8">
        <v>68391</v>
      </c>
      <c r="Q8">
        <v>68391</v>
      </c>
      <c r="R8">
        <v>68391</v>
      </c>
      <c r="S8">
        <v>68391</v>
      </c>
      <c r="T8">
        <v>68391</v>
      </c>
      <c r="U8">
        <v>68391</v>
      </c>
      <c r="V8">
        <v>68391</v>
      </c>
      <c r="W8">
        <v>68391</v>
      </c>
      <c r="X8">
        <v>68391</v>
      </c>
      <c r="Y8">
        <v>68391</v>
      </c>
      <c r="Z8">
        <v>68391</v>
      </c>
      <c r="AA8">
        <v>68391</v>
      </c>
      <c r="AB8">
        <v>68391</v>
      </c>
      <c r="AC8">
        <v>68391</v>
      </c>
      <c r="AD8">
        <v>68391</v>
      </c>
      <c r="AE8">
        <v>68391</v>
      </c>
      <c r="AF8">
        <v>68391</v>
      </c>
      <c r="AG8">
        <v>68391</v>
      </c>
      <c r="AH8">
        <v>68391</v>
      </c>
      <c r="AI8">
        <v>68391</v>
      </c>
      <c r="AJ8">
        <v>68391</v>
      </c>
      <c r="AK8">
        <v>68391</v>
      </c>
      <c r="AL8">
        <v>68391</v>
      </c>
      <c r="AM8">
        <v>68391</v>
      </c>
      <c r="AN8">
        <v>68391</v>
      </c>
      <c r="AO8">
        <v>68391</v>
      </c>
      <c r="AP8">
        <v>68391</v>
      </c>
      <c r="AQ8">
        <v>68391</v>
      </c>
      <c r="AR8">
        <v>68391</v>
      </c>
      <c r="AS8">
        <v>68391</v>
      </c>
      <c r="AT8">
        <v>68391</v>
      </c>
      <c r="AU8">
        <v>68391</v>
      </c>
      <c r="AV8">
        <v>68391</v>
      </c>
      <c r="AW8">
        <v>68391</v>
      </c>
      <c r="AX8">
        <v>68391</v>
      </c>
      <c r="AY8">
        <v>68391</v>
      </c>
      <c r="AZ8">
        <v>68391</v>
      </c>
      <c r="BA8">
        <v>68391</v>
      </c>
      <c r="BB8">
        <v>68391</v>
      </c>
      <c r="BC8">
        <v>68391</v>
      </c>
    </row>
    <row r="9" spans="1:55" x14ac:dyDescent="0.3">
      <c r="A9">
        <v>2016</v>
      </c>
      <c r="B9">
        <v>101022</v>
      </c>
      <c r="C9">
        <v>101022</v>
      </c>
      <c r="D9">
        <v>101022</v>
      </c>
      <c r="E9">
        <v>101022</v>
      </c>
      <c r="F9">
        <v>101022</v>
      </c>
      <c r="G9">
        <v>101022</v>
      </c>
      <c r="H9">
        <v>101022</v>
      </c>
      <c r="I9">
        <v>101022</v>
      </c>
      <c r="J9">
        <v>101022</v>
      </c>
      <c r="K9">
        <v>101022</v>
      </c>
      <c r="L9">
        <v>101022</v>
      </c>
      <c r="M9">
        <v>101022</v>
      </c>
      <c r="N9">
        <v>101022</v>
      </c>
      <c r="O9">
        <v>101022</v>
      </c>
      <c r="P9">
        <v>101022</v>
      </c>
      <c r="Q9">
        <v>101022</v>
      </c>
      <c r="R9">
        <v>101022</v>
      </c>
      <c r="S9">
        <v>101022</v>
      </c>
      <c r="T9">
        <v>101022</v>
      </c>
      <c r="U9">
        <v>101022</v>
      </c>
      <c r="V9">
        <v>101022</v>
      </c>
      <c r="W9">
        <v>101022</v>
      </c>
      <c r="X9">
        <v>101022</v>
      </c>
      <c r="Y9">
        <v>101022</v>
      </c>
      <c r="Z9">
        <v>101022</v>
      </c>
      <c r="AA9">
        <v>101022</v>
      </c>
      <c r="AB9">
        <v>101022</v>
      </c>
      <c r="AC9">
        <v>101022</v>
      </c>
      <c r="AD9">
        <v>101022</v>
      </c>
      <c r="AE9">
        <v>101022</v>
      </c>
      <c r="AF9">
        <v>101022</v>
      </c>
      <c r="AG9">
        <v>101022</v>
      </c>
      <c r="AH9">
        <v>101022</v>
      </c>
      <c r="AI9">
        <v>101022</v>
      </c>
      <c r="AJ9">
        <v>101022</v>
      </c>
      <c r="AK9">
        <v>101022</v>
      </c>
      <c r="AL9">
        <v>101022</v>
      </c>
      <c r="AM9">
        <v>101022</v>
      </c>
      <c r="AN9">
        <v>101022</v>
      </c>
      <c r="AO9">
        <v>101022</v>
      </c>
      <c r="AP9">
        <v>101022</v>
      </c>
      <c r="AQ9">
        <v>101022</v>
      </c>
      <c r="AR9">
        <v>101022</v>
      </c>
      <c r="AS9">
        <v>101022</v>
      </c>
      <c r="AT9">
        <v>101022</v>
      </c>
      <c r="AU9">
        <v>101022</v>
      </c>
      <c r="AV9">
        <v>101022</v>
      </c>
      <c r="AW9">
        <v>101022</v>
      </c>
      <c r="AX9">
        <v>101022</v>
      </c>
      <c r="AY9">
        <v>101022</v>
      </c>
      <c r="AZ9">
        <v>101022</v>
      </c>
      <c r="BA9">
        <v>101022</v>
      </c>
      <c r="BB9">
        <v>101022</v>
      </c>
      <c r="BC9">
        <v>101022</v>
      </c>
    </row>
    <row r="10" spans="1:55" x14ac:dyDescent="0.3">
      <c r="A10">
        <v>2017</v>
      </c>
      <c r="B10">
        <v>150192</v>
      </c>
      <c r="C10">
        <v>150192</v>
      </c>
      <c r="D10">
        <v>150192</v>
      </c>
      <c r="E10">
        <v>150192</v>
      </c>
      <c r="F10">
        <v>150192</v>
      </c>
      <c r="G10">
        <v>150192</v>
      </c>
      <c r="H10">
        <v>150192</v>
      </c>
      <c r="I10">
        <v>150192</v>
      </c>
      <c r="J10">
        <v>150192</v>
      </c>
      <c r="K10">
        <v>150192</v>
      </c>
      <c r="L10">
        <v>150192</v>
      </c>
      <c r="M10">
        <v>150192</v>
      </c>
      <c r="N10">
        <v>150192</v>
      </c>
      <c r="O10">
        <v>150192</v>
      </c>
      <c r="P10">
        <v>150192</v>
      </c>
      <c r="Q10">
        <v>150192</v>
      </c>
      <c r="R10">
        <v>150192</v>
      </c>
      <c r="S10">
        <v>150192</v>
      </c>
      <c r="T10">
        <v>150192</v>
      </c>
      <c r="U10">
        <v>150192</v>
      </c>
      <c r="V10">
        <v>150192</v>
      </c>
      <c r="W10">
        <v>150192</v>
      </c>
      <c r="X10">
        <v>150192</v>
      </c>
      <c r="Y10">
        <v>150192</v>
      </c>
      <c r="Z10">
        <v>150192</v>
      </c>
      <c r="AA10">
        <v>150192</v>
      </c>
      <c r="AB10">
        <v>150192</v>
      </c>
      <c r="AC10">
        <v>150192</v>
      </c>
      <c r="AD10">
        <v>150192</v>
      </c>
      <c r="AE10">
        <v>150192</v>
      </c>
      <c r="AF10">
        <v>150192</v>
      </c>
      <c r="AG10">
        <v>150192</v>
      </c>
      <c r="AH10">
        <v>150192</v>
      </c>
      <c r="AI10">
        <v>150192</v>
      </c>
      <c r="AJ10">
        <v>150192</v>
      </c>
      <c r="AK10">
        <v>150192</v>
      </c>
      <c r="AL10">
        <v>150192</v>
      </c>
      <c r="AM10">
        <v>150192</v>
      </c>
      <c r="AN10">
        <v>150192</v>
      </c>
      <c r="AO10">
        <v>150192</v>
      </c>
      <c r="AP10">
        <v>150192</v>
      </c>
      <c r="AQ10">
        <v>150192</v>
      </c>
      <c r="AR10">
        <v>150192</v>
      </c>
      <c r="AS10">
        <v>150192</v>
      </c>
      <c r="AT10">
        <v>150192</v>
      </c>
      <c r="AU10">
        <v>150192</v>
      </c>
      <c r="AV10">
        <v>150192</v>
      </c>
      <c r="AW10">
        <v>150192</v>
      </c>
      <c r="AX10">
        <v>150192</v>
      </c>
      <c r="AY10">
        <v>150192</v>
      </c>
      <c r="AZ10">
        <v>150192</v>
      </c>
      <c r="BA10">
        <v>150192</v>
      </c>
      <c r="BB10">
        <v>150192</v>
      </c>
      <c r="BC10">
        <v>150192</v>
      </c>
    </row>
    <row r="11" spans="1:55" x14ac:dyDescent="0.3">
      <c r="A11">
        <v>2018</v>
      </c>
      <c r="B11">
        <v>234228</v>
      </c>
      <c r="C11">
        <v>234228</v>
      </c>
      <c r="D11">
        <v>234228</v>
      </c>
      <c r="E11">
        <v>234228</v>
      </c>
      <c r="F11">
        <v>234228</v>
      </c>
      <c r="G11">
        <v>234228</v>
      </c>
      <c r="H11">
        <v>234228</v>
      </c>
      <c r="I11">
        <v>234228</v>
      </c>
      <c r="J11">
        <v>234228</v>
      </c>
      <c r="K11">
        <v>234228</v>
      </c>
      <c r="L11">
        <v>234228</v>
      </c>
      <c r="M11">
        <v>234228</v>
      </c>
      <c r="N11">
        <v>234228</v>
      </c>
      <c r="O11">
        <v>234228</v>
      </c>
      <c r="P11">
        <v>234228</v>
      </c>
      <c r="Q11">
        <v>234228</v>
      </c>
      <c r="R11">
        <v>234228</v>
      </c>
      <c r="S11">
        <v>234228</v>
      </c>
      <c r="T11">
        <v>234228</v>
      </c>
      <c r="U11">
        <v>234228</v>
      </c>
      <c r="V11">
        <v>234228</v>
      </c>
      <c r="W11">
        <v>234228</v>
      </c>
      <c r="X11">
        <v>234228</v>
      </c>
      <c r="Y11">
        <v>234228</v>
      </c>
      <c r="Z11">
        <v>234228</v>
      </c>
      <c r="AA11">
        <v>234228</v>
      </c>
      <c r="AB11">
        <v>234228</v>
      </c>
      <c r="AC11">
        <v>234228</v>
      </c>
      <c r="AD11">
        <v>234228</v>
      </c>
      <c r="AE11">
        <v>234228</v>
      </c>
      <c r="AF11">
        <v>234228</v>
      </c>
      <c r="AG11">
        <v>234228</v>
      </c>
      <c r="AH11">
        <v>234228</v>
      </c>
      <c r="AI11">
        <v>234228</v>
      </c>
      <c r="AJ11">
        <v>234228</v>
      </c>
      <c r="AK11">
        <v>234228</v>
      </c>
      <c r="AL11">
        <v>234228</v>
      </c>
      <c r="AM11">
        <v>234228</v>
      </c>
      <c r="AN11">
        <v>234228</v>
      </c>
      <c r="AO11">
        <v>234228</v>
      </c>
      <c r="AP11">
        <v>234228</v>
      </c>
      <c r="AQ11">
        <v>234228</v>
      </c>
      <c r="AR11">
        <v>234228</v>
      </c>
      <c r="AS11">
        <v>234228</v>
      </c>
      <c r="AT11">
        <v>234228</v>
      </c>
      <c r="AU11">
        <v>234228</v>
      </c>
      <c r="AV11">
        <v>234228</v>
      </c>
      <c r="AW11">
        <v>234228</v>
      </c>
      <c r="AX11">
        <v>234228</v>
      </c>
      <c r="AY11">
        <v>234228</v>
      </c>
      <c r="AZ11">
        <v>234228</v>
      </c>
      <c r="BA11">
        <v>234228</v>
      </c>
      <c r="BB11">
        <v>234228</v>
      </c>
      <c r="BC11">
        <v>234228</v>
      </c>
    </row>
    <row r="12" spans="1:55" x14ac:dyDescent="0.3">
      <c r="A12">
        <v>2019</v>
      </c>
      <c r="B12">
        <v>324522</v>
      </c>
      <c r="C12">
        <v>324522</v>
      </c>
      <c r="D12">
        <v>324522</v>
      </c>
      <c r="E12">
        <v>324522</v>
      </c>
      <c r="F12">
        <v>324522</v>
      </c>
      <c r="G12">
        <v>324522</v>
      </c>
      <c r="H12">
        <v>324522</v>
      </c>
      <c r="I12">
        <v>324522</v>
      </c>
      <c r="J12">
        <v>324522</v>
      </c>
      <c r="K12">
        <v>324522</v>
      </c>
      <c r="L12">
        <v>324522</v>
      </c>
      <c r="M12">
        <v>324522</v>
      </c>
      <c r="N12">
        <v>324522</v>
      </c>
      <c r="O12">
        <v>324522</v>
      </c>
      <c r="P12">
        <v>324522</v>
      </c>
      <c r="Q12">
        <v>324522</v>
      </c>
      <c r="R12">
        <v>324522</v>
      </c>
      <c r="S12">
        <v>324522</v>
      </c>
      <c r="T12">
        <v>324522</v>
      </c>
      <c r="U12">
        <v>324522</v>
      </c>
      <c r="V12">
        <v>324522</v>
      </c>
      <c r="W12">
        <v>324522</v>
      </c>
      <c r="X12">
        <v>324522</v>
      </c>
      <c r="Y12">
        <v>324522</v>
      </c>
      <c r="Z12">
        <v>324522</v>
      </c>
      <c r="AA12">
        <v>324522</v>
      </c>
      <c r="AB12">
        <v>324522</v>
      </c>
      <c r="AC12">
        <v>324522</v>
      </c>
      <c r="AD12">
        <v>324522</v>
      </c>
      <c r="AE12">
        <v>324522</v>
      </c>
      <c r="AF12">
        <v>324522</v>
      </c>
      <c r="AG12">
        <v>324522</v>
      </c>
      <c r="AH12">
        <v>324522</v>
      </c>
      <c r="AI12">
        <v>324522</v>
      </c>
      <c r="AJ12">
        <v>324522</v>
      </c>
      <c r="AK12">
        <v>324522</v>
      </c>
      <c r="AL12">
        <v>324522</v>
      </c>
      <c r="AM12">
        <v>324522</v>
      </c>
      <c r="AN12">
        <v>324522</v>
      </c>
      <c r="AO12">
        <v>324522</v>
      </c>
      <c r="AP12">
        <v>324522</v>
      </c>
      <c r="AQ12">
        <v>324522</v>
      </c>
      <c r="AR12">
        <v>324522</v>
      </c>
      <c r="AS12">
        <v>324522</v>
      </c>
      <c r="AT12">
        <v>324522</v>
      </c>
      <c r="AU12">
        <v>324522</v>
      </c>
      <c r="AV12">
        <v>324522</v>
      </c>
      <c r="AW12">
        <v>324522</v>
      </c>
      <c r="AX12">
        <v>324522</v>
      </c>
      <c r="AY12">
        <v>324522</v>
      </c>
      <c r="AZ12">
        <v>324522</v>
      </c>
      <c r="BA12">
        <v>324522</v>
      </c>
      <c r="BB12">
        <v>324522</v>
      </c>
      <c r="BC12">
        <v>324522</v>
      </c>
    </row>
    <row r="13" spans="1:55" x14ac:dyDescent="0.3">
      <c r="A13">
        <v>2020</v>
      </c>
      <c r="B13">
        <v>401406</v>
      </c>
      <c r="C13">
        <v>401406</v>
      </c>
      <c r="D13">
        <v>401406</v>
      </c>
      <c r="E13">
        <v>401406</v>
      </c>
      <c r="F13">
        <v>401406</v>
      </c>
      <c r="G13">
        <v>401406</v>
      </c>
      <c r="H13">
        <v>401406</v>
      </c>
      <c r="I13">
        <v>401406</v>
      </c>
      <c r="J13">
        <v>401406</v>
      </c>
      <c r="K13">
        <v>401406</v>
      </c>
      <c r="L13">
        <v>401406</v>
      </c>
      <c r="M13">
        <v>401406</v>
      </c>
      <c r="N13">
        <v>401406</v>
      </c>
      <c r="O13">
        <v>401406</v>
      </c>
      <c r="P13">
        <v>401406</v>
      </c>
      <c r="Q13">
        <v>401406</v>
      </c>
      <c r="R13">
        <v>401406</v>
      </c>
      <c r="S13">
        <v>401406</v>
      </c>
      <c r="T13">
        <v>401406</v>
      </c>
      <c r="U13">
        <v>401406</v>
      </c>
      <c r="V13">
        <v>401406</v>
      </c>
      <c r="W13">
        <v>401406</v>
      </c>
      <c r="X13">
        <v>401406</v>
      </c>
      <c r="Y13">
        <v>401406</v>
      </c>
      <c r="Z13">
        <v>401406</v>
      </c>
      <c r="AA13">
        <v>401406</v>
      </c>
      <c r="AB13">
        <v>401406</v>
      </c>
      <c r="AC13">
        <v>401406</v>
      </c>
      <c r="AD13">
        <v>401406</v>
      </c>
      <c r="AE13">
        <v>401406</v>
      </c>
      <c r="AF13">
        <v>401406</v>
      </c>
      <c r="AG13">
        <v>401406</v>
      </c>
      <c r="AH13">
        <v>401406</v>
      </c>
      <c r="AI13">
        <v>401406</v>
      </c>
      <c r="AJ13">
        <v>401406</v>
      </c>
      <c r="AK13">
        <v>401406</v>
      </c>
      <c r="AL13">
        <v>401406</v>
      </c>
      <c r="AM13">
        <v>401406</v>
      </c>
      <c r="AN13">
        <v>401406</v>
      </c>
      <c r="AO13">
        <v>401406</v>
      </c>
      <c r="AP13">
        <v>401406</v>
      </c>
      <c r="AQ13">
        <v>401406</v>
      </c>
      <c r="AR13">
        <v>401406</v>
      </c>
      <c r="AS13">
        <v>401406</v>
      </c>
      <c r="AT13">
        <v>401406</v>
      </c>
      <c r="AU13">
        <v>401406</v>
      </c>
      <c r="AV13">
        <v>401406</v>
      </c>
      <c r="AW13">
        <v>401406</v>
      </c>
      <c r="AX13">
        <v>401406</v>
      </c>
      <c r="AY13">
        <v>401406</v>
      </c>
      <c r="AZ13">
        <v>401406</v>
      </c>
      <c r="BA13">
        <v>401406</v>
      </c>
      <c r="BB13">
        <v>401406</v>
      </c>
      <c r="BC13">
        <v>401406</v>
      </c>
    </row>
    <row r="14" spans="1:55" x14ac:dyDescent="0.3">
      <c r="A14">
        <v>2021</v>
      </c>
      <c r="B14">
        <v>458175</v>
      </c>
      <c r="C14">
        <v>458175</v>
      </c>
      <c r="D14">
        <v>458175</v>
      </c>
      <c r="E14">
        <v>458175</v>
      </c>
      <c r="F14">
        <v>458175</v>
      </c>
      <c r="G14">
        <v>458175</v>
      </c>
      <c r="H14">
        <v>458175</v>
      </c>
      <c r="I14">
        <v>458175</v>
      </c>
      <c r="J14">
        <v>458175</v>
      </c>
      <c r="K14">
        <v>458175</v>
      </c>
      <c r="L14">
        <v>458175</v>
      </c>
      <c r="M14">
        <v>458175</v>
      </c>
      <c r="N14">
        <v>458175</v>
      </c>
      <c r="O14">
        <v>458175</v>
      </c>
      <c r="P14">
        <v>458175</v>
      </c>
      <c r="Q14">
        <v>458175</v>
      </c>
      <c r="R14">
        <v>458175</v>
      </c>
      <c r="S14">
        <v>458175</v>
      </c>
      <c r="T14">
        <v>458175</v>
      </c>
      <c r="U14">
        <v>458175</v>
      </c>
      <c r="V14">
        <v>458175</v>
      </c>
      <c r="W14">
        <v>458175</v>
      </c>
      <c r="X14">
        <v>458175</v>
      </c>
      <c r="Y14">
        <v>458175</v>
      </c>
      <c r="Z14">
        <v>458175</v>
      </c>
      <c r="AA14">
        <v>458175</v>
      </c>
      <c r="AB14">
        <v>458175</v>
      </c>
      <c r="AC14">
        <v>458175</v>
      </c>
      <c r="AD14">
        <v>458175</v>
      </c>
      <c r="AE14">
        <v>458175</v>
      </c>
      <c r="AF14">
        <v>458175</v>
      </c>
      <c r="AG14">
        <v>458175</v>
      </c>
      <c r="AH14">
        <v>458175</v>
      </c>
      <c r="AI14">
        <v>458175</v>
      </c>
      <c r="AJ14">
        <v>458175</v>
      </c>
      <c r="AK14">
        <v>458175</v>
      </c>
      <c r="AL14">
        <v>458175</v>
      </c>
      <c r="AM14">
        <v>458175</v>
      </c>
      <c r="AN14">
        <v>458175</v>
      </c>
      <c r="AO14">
        <v>458175</v>
      </c>
      <c r="AP14">
        <v>458175</v>
      </c>
      <c r="AQ14">
        <v>458175</v>
      </c>
      <c r="AR14">
        <v>458175</v>
      </c>
      <c r="AS14">
        <v>458175</v>
      </c>
      <c r="AT14">
        <v>458175</v>
      </c>
      <c r="AU14">
        <v>458175</v>
      </c>
      <c r="AV14">
        <v>458175</v>
      </c>
      <c r="AW14">
        <v>458175</v>
      </c>
      <c r="AX14">
        <v>458175</v>
      </c>
      <c r="AY14">
        <v>458175</v>
      </c>
      <c r="AZ14">
        <v>458175</v>
      </c>
      <c r="BA14">
        <v>458175</v>
      </c>
      <c r="BB14">
        <v>458175</v>
      </c>
      <c r="BC14">
        <v>458175</v>
      </c>
    </row>
    <row r="15" spans="1:55" x14ac:dyDescent="0.3">
      <c r="A15">
        <v>2022</v>
      </c>
      <c r="B15">
        <v>540870</v>
      </c>
      <c r="C15">
        <v>540870</v>
      </c>
      <c r="D15">
        <v>540870</v>
      </c>
      <c r="E15">
        <v>540870</v>
      </c>
      <c r="F15">
        <v>540870</v>
      </c>
      <c r="G15">
        <v>540870</v>
      </c>
      <c r="H15">
        <v>540870</v>
      </c>
      <c r="I15">
        <v>540870</v>
      </c>
      <c r="J15">
        <v>540870</v>
      </c>
      <c r="K15">
        <v>540870</v>
      </c>
      <c r="L15">
        <v>540870</v>
      </c>
      <c r="M15">
        <v>540870</v>
      </c>
      <c r="N15">
        <v>540870</v>
      </c>
      <c r="O15">
        <v>540870</v>
      </c>
      <c r="P15">
        <v>540870</v>
      </c>
      <c r="Q15">
        <v>540870</v>
      </c>
      <c r="R15">
        <v>540870</v>
      </c>
      <c r="S15">
        <v>540870</v>
      </c>
      <c r="T15">
        <v>540870</v>
      </c>
      <c r="U15">
        <v>540870</v>
      </c>
      <c r="V15">
        <v>540870</v>
      </c>
      <c r="W15">
        <v>540870</v>
      </c>
      <c r="X15">
        <v>540870</v>
      </c>
      <c r="Y15">
        <v>540870</v>
      </c>
      <c r="Z15">
        <v>540870</v>
      </c>
      <c r="AA15">
        <v>540870</v>
      </c>
      <c r="AB15">
        <v>540870</v>
      </c>
      <c r="AC15">
        <v>540870</v>
      </c>
      <c r="AD15">
        <v>540870</v>
      </c>
      <c r="AE15">
        <v>540870</v>
      </c>
      <c r="AF15">
        <v>540870</v>
      </c>
      <c r="AG15">
        <v>540870</v>
      </c>
      <c r="AH15">
        <v>540870</v>
      </c>
      <c r="AI15">
        <v>540870</v>
      </c>
      <c r="AJ15">
        <v>540870</v>
      </c>
      <c r="AK15">
        <v>540870</v>
      </c>
      <c r="AL15">
        <v>540870</v>
      </c>
      <c r="AM15">
        <v>540870</v>
      </c>
      <c r="AN15">
        <v>540870</v>
      </c>
      <c r="AO15">
        <v>540870</v>
      </c>
      <c r="AP15">
        <v>540870</v>
      </c>
      <c r="AQ15">
        <v>540870</v>
      </c>
      <c r="AR15">
        <v>540870</v>
      </c>
      <c r="AS15">
        <v>540870</v>
      </c>
      <c r="AT15">
        <v>540870</v>
      </c>
      <c r="AU15">
        <v>540870</v>
      </c>
      <c r="AV15">
        <v>540870</v>
      </c>
      <c r="AW15">
        <v>540870</v>
      </c>
      <c r="AX15">
        <v>540870</v>
      </c>
      <c r="AY15">
        <v>540870</v>
      </c>
      <c r="AZ15">
        <v>540870</v>
      </c>
      <c r="BA15">
        <v>540870</v>
      </c>
      <c r="BB15">
        <v>540870</v>
      </c>
      <c r="BC15">
        <v>540870</v>
      </c>
    </row>
    <row r="16" spans="1:55" x14ac:dyDescent="0.3">
      <c r="A16">
        <v>2023</v>
      </c>
      <c r="B16">
        <v>614178</v>
      </c>
      <c r="C16">
        <v>614178</v>
      </c>
      <c r="D16">
        <v>614178</v>
      </c>
      <c r="E16">
        <v>614178</v>
      </c>
      <c r="F16">
        <v>614178</v>
      </c>
      <c r="G16">
        <v>614178</v>
      </c>
      <c r="H16">
        <v>614178</v>
      </c>
      <c r="I16">
        <v>614178</v>
      </c>
      <c r="J16">
        <v>614178</v>
      </c>
      <c r="K16">
        <v>614178</v>
      </c>
      <c r="L16">
        <v>614178</v>
      </c>
      <c r="M16">
        <v>614178</v>
      </c>
      <c r="N16">
        <v>614178</v>
      </c>
      <c r="O16">
        <v>614178</v>
      </c>
      <c r="P16">
        <v>614178</v>
      </c>
      <c r="Q16">
        <v>614178</v>
      </c>
      <c r="R16">
        <v>614178</v>
      </c>
      <c r="S16">
        <v>614178</v>
      </c>
      <c r="T16">
        <v>614178</v>
      </c>
      <c r="U16">
        <v>614178</v>
      </c>
      <c r="V16">
        <v>614178</v>
      </c>
      <c r="W16">
        <v>614178</v>
      </c>
      <c r="X16">
        <v>614178</v>
      </c>
      <c r="Y16">
        <v>614178</v>
      </c>
      <c r="Z16">
        <v>614178</v>
      </c>
      <c r="AA16">
        <v>614178</v>
      </c>
      <c r="AB16">
        <v>614178</v>
      </c>
      <c r="AC16">
        <v>614178</v>
      </c>
      <c r="AD16">
        <v>614178</v>
      </c>
      <c r="AE16">
        <v>614178</v>
      </c>
      <c r="AF16">
        <v>614178</v>
      </c>
      <c r="AG16">
        <v>614178</v>
      </c>
      <c r="AH16">
        <v>614178</v>
      </c>
      <c r="AI16">
        <v>614178</v>
      </c>
      <c r="AJ16">
        <v>614178</v>
      </c>
      <c r="AK16">
        <v>614178</v>
      </c>
      <c r="AL16">
        <v>614178</v>
      </c>
      <c r="AM16">
        <v>614178</v>
      </c>
      <c r="AN16">
        <v>614178</v>
      </c>
      <c r="AO16">
        <v>614178</v>
      </c>
      <c r="AP16">
        <v>614178</v>
      </c>
      <c r="AQ16">
        <v>614178</v>
      </c>
      <c r="AR16">
        <v>614178</v>
      </c>
      <c r="AS16">
        <v>614178</v>
      </c>
      <c r="AT16">
        <v>614178</v>
      </c>
      <c r="AU16">
        <v>614178</v>
      </c>
      <c r="AV16">
        <v>614178</v>
      </c>
      <c r="AW16">
        <v>614178</v>
      </c>
      <c r="AX16">
        <v>614178</v>
      </c>
      <c r="AY16">
        <v>614178</v>
      </c>
      <c r="AZ16">
        <v>614178</v>
      </c>
      <c r="BA16">
        <v>614178</v>
      </c>
      <c r="BB16">
        <v>614178</v>
      </c>
      <c r="BC16">
        <v>614178</v>
      </c>
    </row>
    <row r="17" spans="1:55" x14ac:dyDescent="0.3">
      <c r="A17">
        <v>2024</v>
      </c>
      <c r="B17">
        <v>664242</v>
      </c>
      <c r="C17">
        <v>664242</v>
      </c>
      <c r="D17">
        <v>664242</v>
      </c>
      <c r="E17">
        <v>664242</v>
      </c>
      <c r="F17">
        <v>664242</v>
      </c>
      <c r="G17">
        <v>664242</v>
      </c>
      <c r="H17">
        <v>664242</v>
      </c>
      <c r="I17">
        <v>664242</v>
      </c>
      <c r="J17">
        <v>664242</v>
      </c>
      <c r="K17">
        <v>664242</v>
      </c>
      <c r="L17">
        <v>664242</v>
      </c>
      <c r="M17">
        <v>664242</v>
      </c>
      <c r="N17">
        <v>664242</v>
      </c>
      <c r="O17">
        <v>664242</v>
      </c>
      <c r="P17">
        <v>664242</v>
      </c>
      <c r="Q17">
        <v>664242</v>
      </c>
      <c r="R17">
        <v>664242</v>
      </c>
      <c r="S17">
        <v>664242</v>
      </c>
      <c r="T17">
        <v>664242</v>
      </c>
      <c r="U17">
        <v>664242</v>
      </c>
      <c r="V17">
        <v>664242</v>
      </c>
      <c r="W17">
        <v>664242</v>
      </c>
      <c r="X17">
        <v>664242</v>
      </c>
      <c r="Y17">
        <v>664242</v>
      </c>
      <c r="Z17">
        <v>664242</v>
      </c>
      <c r="AA17">
        <v>664242</v>
      </c>
      <c r="AB17">
        <v>664242</v>
      </c>
      <c r="AC17">
        <v>664242</v>
      </c>
      <c r="AD17">
        <v>664242</v>
      </c>
      <c r="AE17">
        <v>664242</v>
      </c>
      <c r="AF17">
        <v>664242</v>
      </c>
      <c r="AG17">
        <v>664242</v>
      </c>
      <c r="AH17">
        <v>664242</v>
      </c>
      <c r="AI17">
        <v>664242</v>
      </c>
      <c r="AJ17">
        <v>664242</v>
      </c>
      <c r="AK17">
        <v>664242</v>
      </c>
      <c r="AL17">
        <v>664242</v>
      </c>
      <c r="AM17">
        <v>664242</v>
      </c>
      <c r="AN17">
        <v>664242</v>
      </c>
      <c r="AO17">
        <v>664242</v>
      </c>
      <c r="AP17">
        <v>664242</v>
      </c>
      <c r="AQ17">
        <v>664242</v>
      </c>
      <c r="AR17">
        <v>664242</v>
      </c>
      <c r="AS17">
        <v>664242</v>
      </c>
      <c r="AT17">
        <v>664242</v>
      </c>
      <c r="AU17">
        <v>664242</v>
      </c>
      <c r="AV17">
        <v>664242</v>
      </c>
      <c r="AW17">
        <v>664242</v>
      </c>
      <c r="AX17">
        <v>664242</v>
      </c>
      <c r="AY17">
        <v>664242</v>
      </c>
      <c r="AZ17">
        <v>664242</v>
      </c>
      <c r="BA17">
        <v>664242</v>
      </c>
      <c r="BB17">
        <v>664242</v>
      </c>
      <c r="BC17">
        <v>664242</v>
      </c>
    </row>
    <row r="18" spans="1:55" x14ac:dyDescent="0.3">
      <c r="A18">
        <v>2025</v>
      </c>
      <c r="B18">
        <v>698214</v>
      </c>
      <c r="C18">
        <v>701790</v>
      </c>
      <c r="D18">
        <v>699555</v>
      </c>
      <c r="E18">
        <v>715200</v>
      </c>
      <c r="F18">
        <v>701790</v>
      </c>
      <c r="G18">
        <v>703131</v>
      </c>
      <c r="H18">
        <v>704472</v>
      </c>
      <c r="I18">
        <v>691509</v>
      </c>
      <c r="J18">
        <v>712518</v>
      </c>
      <c r="K18">
        <v>704919</v>
      </c>
      <c r="L18">
        <v>701790</v>
      </c>
      <c r="M18">
        <v>711177</v>
      </c>
      <c r="N18">
        <v>710283</v>
      </c>
      <c r="O18">
        <v>707154</v>
      </c>
      <c r="P18">
        <v>695979</v>
      </c>
      <c r="Q18">
        <v>724587</v>
      </c>
      <c r="R18">
        <v>696873</v>
      </c>
      <c r="S18">
        <v>706260</v>
      </c>
      <c r="T18">
        <v>701343</v>
      </c>
      <c r="U18">
        <v>701343</v>
      </c>
      <c r="V18">
        <v>699108</v>
      </c>
      <c r="W18">
        <v>699108</v>
      </c>
      <c r="X18">
        <v>699108</v>
      </c>
      <c r="Y18">
        <v>714753</v>
      </c>
      <c r="Z18">
        <v>694191</v>
      </c>
      <c r="AA18">
        <v>704025</v>
      </c>
      <c r="AB18">
        <v>708495</v>
      </c>
      <c r="AC18">
        <v>706707</v>
      </c>
      <c r="AD18">
        <v>705366</v>
      </c>
      <c r="AE18">
        <v>691509</v>
      </c>
      <c r="AF18">
        <v>693744</v>
      </c>
      <c r="AG18">
        <v>704472</v>
      </c>
      <c r="AH18">
        <v>712071</v>
      </c>
      <c r="AI18">
        <v>697320</v>
      </c>
      <c r="AJ18">
        <v>695085</v>
      </c>
      <c r="AK18">
        <v>835890</v>
      </c>
      <c r="AL18">
        <v>782250</v>
      </c>
      <c r="AM18">
        <v>809070</v>
      </c>
      <c r="AN18">
        <v>782250</v>
      </c>
      <c r="AO18">
        <v>774204</v>
      </c>
      <c r="AP18">
        <v>705366</v>
      </c>
      <c r="AQ18">
        <v>700896</v>
      </c>
      <c r="AR18">
        <v>712071</v>
      </c>
      <c r="AS18">
        <v>703131</v>
      </c>
      <c r="AT18">
        <v>702237</v>
      </c>
      <c r="AU18">
        <v>693297</v>
      </c>
      <c r="AV18">
        <v>722799</v>
      </c>
      <c r="AW18">
        <v>707601</v>
      </c>
      <c r="AX18">
        <v>698214</v>
      </c>
      <c r="AY18">
        <v>706260</v>
      </c>
      <c r="AZ18">
        <v>691062</v>
      </c>
      <c r="BA18">
        <v>697767</v>
      </c>
      <c r="BB18">
        <v>696426</v>
      </c>
      <c r="BC18">
        <v>716541</v>
      </c>
    </row>
    <row r="19" spans="1:55" x14ac:dyDescent="0.3">
      <c r="A19">
        <v>2026</v>
      </c>
      <c r="B19">
        <v>751407</v>
      </c>
      <c r="C19">
        <v>752301</v>
      </c>
      <c r="D19">
        <v>742467</v>
      </c>
      <c r="E19">
        <v>787167</v>
      </c>
      <c r="F19">
        <v>751854</v>
      </c>
      <c r="G19">
        <v>881484</v>
      </c>
      <c r="H19">
        <v>883272</v>
      </c>
      <c r="I19">
        <v>849300</v>
      </c>
      <c r="J19">
        <v>880590</v>
      </c>
      <c r="K19">
        <v>888189</v>
      </c>
      <c r="L19">
        <v>878355</v>
      </c>
      <c r="M19">
        <v>909645</v>
      </c>
      <c r="N19">
        <v>889977</v>
      </c>
      <c r="O19">
        <v>893106</v>
      </c>
      <c r="P19">
        <v>855111</v>
      </c>
      <c r="Q19">
        <v>848853</v>
      </c>
      <c r="R19">
        <v>753642</v>
      </c>
      <c r="S19">
        <v>792531</v>
      </c>
      <c r="T19">
        <v>762582</v>
      </c>
      <c r="U19">
        <v>772416</v>
      </c>
      <c r="V19">
        <v>823821</v>
      </c>
      <c r="W19">
        <v>822480</v>
      </c>
      <c r="X19">
        <v>813093</v>
      </c>
      <c r="Y19">
        <v>863157</v>
      </c>
      <c r="Z19">
        <v>802365</v>
      </c>
      <c r="AA19">
        <v>883719</v>
      </c>
      <c r="AB19">
        <v>887742</v>
      </c>
      <c r="AC19">
        <v>880590</v>
      </c>
      <c r="AD19">
        <v>897576</v>
      </c>
      <c r="AE19">
        <v>863604</v>
      </c>
      <c r="AF19">
        <v>843936</v>
      </c>
      <c r="AG19">
        <v>872544</v>
      </c>
      <c r="AH19">
        <v>885507</v>
      </c>
      <c r="AI19">
        <v>842148</v>
      </c>
      <c r="AJ19">
        <v>850194</v>
      </c>
      <c r="AK19">
        <v>1380336</v>
      </c>
      <c r="AL19">
        <v>1244895</v>
      </c>
      <c r="AM19">
        <v>1290489</v>
      </c>
      <c r="AN19">
        <v>1274397</v>
      </c>
      <c r="AO19">
        <v>1230144</v>
      </c>
      <c r="AP19">
        <v>750960</v>
      </c>
      <c r="AQ19">
        <v>743808</v>
      </c>
      <c r="AR19">
        <v>767499</v>
      </c>
      <c r="AS19">
        <v>749172</v>
      </c>
      <c r="AT19">
        <v>739785</v>
      </c>
      <c r="AU19">
        <v>726822</v>
      </c>
      <c r="AV19">
        <v>810411</v>
      </c>
      <c r="AW19">
        <v>781803</v>
      </c>
      <c r="AX19">
        <v>738891</v>
      </c>
      <c r="AY19">
        <v>750513</v>
      </c>
      <c r="AZ19">
        <v>725928</v>
      </c>
      <c r="BA19">
        <v>736656</v>
      </c>
      <c r="BB19">
        <v>740679</v>
      </c>
      <c r="BC19">
        <v>783591</v>
      </c>
    </row>
    <row r="20" spans="1:55" x14ac:dyDescent="0.3">
      <c r="A20">
        <v>2027</v>
      </c>
      <c r="B20">
        <v>804600</v>
      </c>
      <c r="C20">
        <v>804600</v>
      </c>
      <c r="D20">
        <v>782697</v>
      </c>
      <c r="E20">
        <v>854217</v>
      </c>
      <c r="F20">
        <v>793872</v>
      </c>
      <c r="G20">
        <v>1028994</v>
      </c>
      <c r="H20">
        <v>1025418</v>
      </c>
      <c r="I20">
        <v>1016925</v>
      </c>
      <c r="J20">
        <v>1024524</v>
      </c>
      <c r="K20">
        <v>1055367</v>
      </c>
      <c r="L20">
        <v>1079505</v>
      </c>
      <c r="M20">
        <v>1121076</v>
      </c>
      <c r="N20">
        <v>1083081</v>
      </c>
      <c r="O20">
        <v>1098726</v>
      </c>
      <c r="P20">
        <v>1041510</v>
      </c>
      <c r="Q20">
        <v>1061625</v>
      </c>
      <c r="R20">
        <v>874779</v>
      </c>
      <c r="S20">
        <v>955239</v>
      </c>
      <c r="T20">
        <v>900258</v>
      </c>
      <c r="U20">
        <v>940935</v>
      </c>
      <c r="V20">
        <v>1031676</v>
      </c>
      <c r="W20">
        <v>1051791</v>
      </c>
      <c r="X20">
        <v>1032570</v>
      </c>
      <c r="Y20">
        <v>1084422</v>
      </c>
      <c r="Z20">
        <v>1010220</v>
      </c>
      <c r="AA20">
        <v>1130463</v>
      </c>
      <c r="AB20">
        <v>1141191</v>
      </c>
      <c r="AC20">
        <v>1125099</v>
      </c>
      <c r="AD20">
        <v>1173375</v>
      </c>
      <c r="AE20">
        <v>1121523</v>
      </c>
      <c r="AF20">
        <v>1156836</v>
      </c>
      <c r="AG20">
        <v>1216734</v>
      </c>
      <c r="AH20">
        <v>1273950</v>
      </c>
      <c r="AI20">
        <v>1153260</v>
      </c>
      <c r="AJ20">
        <v>1187232</v>
      </c>
      <c r="AK20">
        <v>2697198</v>
      </c>
      <c r="AL20">
        <v>2288193</v>
      </c>
      <c r="AM20">
        <v>2399496</v>
      </c>
      <c r="AN20">
        <v>2324400</v>
      </c>
      <c r="AO20">
        <v>2202369</v>
      </c>
      <c r="AP20">
        <v>811752</v>
      </c>
      <c r="AQ20">
        <v>799683</v>
      </c>
      <c r="AR20">
        <v>839019</v>
      </c>
      <c r="AS20">
        <v>796554</v>
      </c>
      <c r="AT20">
        <v>771969</v>
      </c>
      <c r="AU20">
        <v>772863</v>
      </c>
      <c r="AV20">
        <v>919479</v>
      </c>
      <c r="AW20">
        <v>887295</v>
      </c>
      <c r="AX20">
        <v>786720</v>
      </c>
      <c r="AY20">
        <v>811305</v>
      </c>
      <c r="AZ20">
        <v>769734</v>
      </c>
      <c r="BA20">
        <v>778227</v>
      </c>
      <c r="BB20">
        <v>776886</v>
      </c>
      <c r="BC20">
        <v>875226</v>
      </c>
    </row>
    <row r="21" spans="1:55" x14ac:dyDescent="0.3">
      <c r="A21">
        <v>2028</v>
      </c>
      <c r="B21">
        <v>900705</v>
      </c>
      <c r="C21">
        <v>902046</v>
      </c>
      <c r="D21">
        <v>866286</v>
      </c>
      <c r="E21">
        <v>969990</v>
      </c>
      <c r="F21">
        <v>879696</v>
      </c>
      <c r="G21">
        <v>1191702</v>
      </c>
      <c r="H21">
        <v>1179186</v>
      </c>
      <c r="I21">
        <v>1179633</v>
      </c>
      <c r="J21">
        <v>1179186</v>
      </c>
      <c r="K21">
        <v>1212264</v>
      </c>
      <c r="L21">
        <v>1299876</v>
      </c>
      <c r="M21">
        <v>1327590</v>
      </c>
      <c r="N21">
        <v>1302111</v>
      </c>
      <c r="O21">
        <v>1318203</v>
      </c>
      <c r="P21">
        <v>1262328</v>
      </c>
      <c r="Q21">
        <v>1348152</v>
      </c>
      <c r="R21">
        <v>1084869</v>
      </c>
      <c r="S21">
        <v>1226121</v>
      </c>
      <c r="T21">
        <v>1131357</v>
      </c>
      <c r="U21">
        <v>1196172</v>
      </c>
      <c r="V21">
        <v>1336977</v>
      </c>
      <c r="W21">
        <v>1373184</v>
      </c>
      <c r="X21">
        <v>1357092</v>
      </c>
      <c r="Y21">
        <v>1390170</v>
      </c>
      <c r="Z21">
        <v>1334742</v>
      </c>
      <c r="AA21">
        <v>1475100</v>
      </c>
      <c r="AB21">
        <v>1506390</v>
      </c>
      <c r="AC21">
        <v>1501026</v>
      </c>
      <c r="AD21">
        <v>1548408</v>
      </c>
      <c r="AE21">
        <v>1506390</v>
      </c>
      <c r="AF21">
        <v>1825101</v>
      </c>
      <c r="AG21">
        <v>1909137</v>
      </c>
      <c r="AH21">
        <v>2085255</v>
      </c>
      <c r="AI21">
        <v>1804092</v>
      </c>
      <c r="AJ21">
        <v>1872483</v>
      </c>
      <c r="AK21">
        <v>5082837</v>
      </c>
      <c r="AL21">
        <v>4213869</v>
      </c>
      <c r="AM21">
        <v>4534368</v>
      </c>
      <c r="AN21">
        <v>4200459</v>
      </c>
      <c r="AO21">
        <v>4111953</v>
      </c>
      <c r="AP21">
        <v>906069</v>
      </c>
      <c r="AQ21">
        <v>913221</v>
      </c>
      <c r="AR21">
        <v>955239</v>
      </c>
      <c r="AS21">
        <v>896682</v>
      </c>
      <c r="AT21">
        <v>835890</v>
      </c>
      <c r="AU21">
        <v>860028</v>
      </c>
      <c r="AV21">
        <v>1053132</v>
      </c>
      <c r="AW21">
        <v>1025418</v>
      </c>
      <c r="AX21">
        <v>885060</v>
      </c>
      <c r="AY21">
        <v>921714</v>
      </c>
      <c r="AZ21">
        <v>849747</v>
      </c>
      <c r="BA21">
        <v>872544</v>
      </c>
      <c r="BB21">
        <v>860475</v>
      </c>
      <c r="BC21">
        <v>1004409</v>
      </c>
    </row>
    <row r="22" spans="1:55" x14ac:dyDescent="0.3">
      <c r="A22">
        <v>2029</v>
      </c>
      <c r="B22">
        <v>1041063</v>
      </c>
      <c r="C22">
        <v>1066095</v>
      </c>
      <c r="D22">
        <v>1008432</v>
      </c>
      <c r="E22">
        <v>1131357</v>
      </c>
      <c r="F22">
        <v>1012902</v>
      </c>
      <c r="G22">
        <v>1375866</v>
      </c>
      <c r="H22">
        <v>1362456</v>
      </c>
      <c r="I22">
        <v>1379889</v>
      </c>
      <c r="J22">
        <v>1357092</v>
      </c>
      <c r="K22">
        <v>1394640</v>
      </c>
      <c r="L22">
        <v>1568970</v>
      </c>
      <c r="M22">
        <v>1571205</v>
      </c>
      <c r="N22">
        <v>1564947</v>
      </c>
      <c r="O22">
        <v>1582827</v>
      </c>
      <c r="P22">
        <v>1535445</v>
      </c>
      <c r="Q22">
        <v>1681167</v>
      </c>
      <c r="R22">
        <v>1383912</v>
      </c>
      <c r="S22">
        <v>1583721</v>
      </c>
      <c r="T22">
        <v>1459008</v>
      </c>
      <c r="U22">
        <v>1547067</v>
      </c>
      <c r="V22">
        <v>1748664</v>
      </c>
      <c r="W22">
        <v>1762074</v>
      </c>
      <c r="X22">
        <v>1759392</v>
      </c>
      <c r="Y22">
        <v>1807221</v>
      </c>
      <c r="Z22">
        <v>1742406</v>
      </c>
      <c r="AA22">
        <v>1910031</v>
      </c>
      <c r="AB22">
        <v>1955625</v>
      </c>
      <c r="AC22">
        <v>1956966</v>
      </c>
      <c r="AD22">
        <v>1970823</v>
      </c>
      <c r="AE22">
        <v>1982445</v>
      </c>
      <c r="AF22">
        <v>2897007</v>
      </c>
      <c r="AG22">
        <v>3018144</v>
      </c>
      <c r="AH22">
        <v>3209907</v>
      </c>
      <c r="AI22">
        <v>2878680</v>
      </c>
      <c r="AJ22">
        <v>2908629</v>
      </c>
      <c r="AK22">
        <v>8550663</v>
      </c>
      <c r="AL22">
        <v>7282077</v>
      </c>
      <c r="AM22">
        <v>7854684</v>
      </c>
      <c r="AN22">
        <v>7219050</v>
      </c>
      <c r="AO22">
        <v>7396062</v>
      </c>
      <c r="AP22">
        <v>1058943</v>
      </c>
      <c r="AQ22">
        <v>1068330</v>
      </c>
      <c r="AR22">
        <v>1116606</v>
      </c>
      <c r="AS22">
        <v>1043298</v>
      </c>
      <c r="AT22">
        <v>936465</v>
      </c>
      <c r="AU22">
        <v>984294</v>
      </c>
      <c r="AV22">
        <v>1224333</v>
      </c>
      <c r="AW22">
        <v>1190808</v>
      </c>
      <c r="AX22">
        <v>1021395</v>
      </c>
      <c r="AY22">
        <v>1093809</v>
      </c>
      <c r="AZ22">
        <v>959262</v>
      </c>
      <c r="BA22">
        <v>993681</v>
      </c>
      <c r="BB22">
        <v>1004856</v>
      </c>
      <c r="BC22">
        <v>1176951</v>
      </c>
    </row>
    <row r="23" spans="1:55" x14ac:dyDescent="0.3">
      <c r="A23">
        <v>2030</v>
      </c>
      <c r="B23">
        <v>1163541</v>
      </c>
      <c r="C23">
        <v>1189467</v>
      </c>
      <c r="D23">
        <v>1136721</v>
      </c>
      <c r="E23">
        <v>1242213</v>
      </c>
      <c r="F23">
        <v>1145214</v>
      </c>
      <c r="G23">
        <v>1501026</v>
      </c>
      <c r="H23">
        <v>1503708</v>
      </c>
      <c r="I23">
        <v>1545726</v>
      </c>
      <c r="J23">
        <v>1483593</v>
      </c>
      <c r="K23">
        <v>1534551</v>
      </c>
      <c r="L23">
        <v>1810350</v>
      </c>
      <c r="M23">
        <v>1783977</v>
      </c>
      <c r="N23">
        <v>1817055</v>
      </c>
      <c r="O23">
        <v>1823760</v>
      </c>
      <c r="P23">
        <v>1788894</v>
      </c>
      <c r="Q23">
        <v>2016417</v>
      </c>
      <c r="R23">
        <v>1746876</v>
      </c>
      <c r="S23">
        <v>1921206</v>
      </c>
      <c r="T23">
        <v>1822419</v>
      </c>
      <c r="U23">
        <v>1892598</v>
      </c>
      <c r="V23">
        <v>2230977</v>
      </c>
      <c r="W23">
        <v>2197005</v>
      </c>
      <c r="X23">
        <v>2210862</v>
      </c>
      <c r="Y23">
        <v>2272101</v>
      </c>
      <c r="Z23">
        <v>2156775</v>
      </c>
      <c r="AA23">
        <v>2345856</v>
      </c>
      <c r="AB23">
        <v>2416929</v>
      </c>
      <c r="AC23">
        <v>2395473</v>
      </c>
      <c r="AD23">
        <v>2407095</v>
      </c>
      <c r="AE23">
        <v>2434809</v>
      </c>
      <c r="AF23">
        <v>4446756</v>
      </c>
      <c r="AG23">
        <v>4571916</v>
      </c>
      <c r="AH23">
        <v>4567446</v>
      </c>
      <c r="AI23">
        <v>4378365</v>
      </c>
      <c r="AJ23">
        <v>4435581</v>
      </c>
      <c r="AK23">
        <v>12552207</v>
      </c>
      <c r="AL23">
        <v>11436495</v>
      </c>
      <c r="AM23">
        <v>12017148</v>
      </c>
      <c r="AN23">
        <v>11349330</v>
      </c>
      <c r="AO23">
        <v>11711400</v>
      </c>
      <c r="AP23">
        <v>1189020</v>
      </c>
      <c r="AQ23">
        <v>1211370</v>
      </c>
      <c r="AR23">
        <v>1242660</v>
      </c>
      <c r="AS23">
        <v>1175610</v>
      </c>
      <c r="AT23">
        <v>1026312</v>
      </c>
      <c r="AU23">
        <v>1109007</v>
      </c>
      <c r="AV23">
        <v>1349493</v>
      </c>
      <c r="AW23">
        <v>1319544</v>
      </c>
      <c r="AX23">
        <v>1134486</v>
      </c>
      <c r="AY23">
        <v>1233273</v>
      </c>
      <c r="AZ23">
        <v>1065201</v>
      </c>
      <c r="BA23">
        <v>1112136</v>
      </c>
      <c r="BB23">
        <v>1120629</v>
      </c>
      <c r="BC23">
        <v>1296300</v>
      </c>
    </row>
    <row r="24" spans="1:55" x14ac:dyDescent="0.3">
      <c r="A24">
        <v>2031</v>
      </c>
      <c r="B24">
        <v>1266798</v>
      </c>
      <c r="C24">
        <v>1294512</v>
      </c>
      <c r="D24">
        <v>1251153</v>
      </c>
      <c r="E24">
        <v>1324908</v>
      </c>
      <c r="F24">
        <v>1247577</v>
      </c>
      <c r="G24">
        <v>1592214</v>
      </c>
      <c r="H24">
        <v>1599813</v>
      </c>
      <c r="I24">
        <v>1634232</v>
      </c>
      <c r="J24">
        <v>1570758</v>
      </c>
      <c r="K24">
        <v>1632444</v>
      </c>
      <c r="L24">
        <v>2011500</v>
      </c>
      <c r="M24">
        <v>1982892</v>
      </c>
      <c r="N24">
        <v>2030274</v>
      </c>
      <c r="O24">
        <v>2024463</v>
      </c>
      <c r="P24">
        <v>1994514</v>
      </c>
      <c r="Q24">
        <v>2376252</v>
      </c>
      <c r="R24">
        <v>2106264</v>
      </c>
      <c r="S24">
        <v>2230530</v>
      </c>
      <c r="T24">
        <v>2155434</v>
      </c>
      <c r="U24">
        <v>2206839</v>
      </c>
      <c r="V24">
        <v>2687364</v>
      </c>
      <c r="W24">
        <v>2631936</v>
      </c>
      <c r="X24">
        <v>2647581</v>
      </c>
      <c r="Y24">
        <v>2697645</v>
      </c>
      <c r="Z24">
        <v>2574273</v>
      </c>
      <c r="AA24">
        <v>2772741</v>
      </c>
      <c r="AB24">
        <v>2851413</v>
      </c>
      <c r="AC24">
        <v>2831298</v>
      </c>
      <c r="AD24">
        <v>2820123</v>
      </c>
      <c r="AE24">
        <v>2823699</v>
      </c>
      <c r="AF24">
        <v>6189162</v>
      </c>
      <c r="AG24">
        <v>6133734</v>
      </c>
      <c r="AH24">
        <v>6217323</v>
      </c>
      <c r="AI24">
        <v>5983095</v>
      </c>
      <c r="AJ24">
        <v>6054615</v>
      </c>
      <c r="AK24">
        <v>16843407</v>
      </c>
      <c r="AL24">
        <v>15995895</v>
      </c>
      <c r="AM24">
        <v>16150110</v>
      </c>
      <c r="AN24">
        <v>15810837</v>
      </c>
      <c r="AO24">
        <v>15990531</v>
      </c>
      <c r="AP24">
        <v>1312392</v>
      </c>
      <c r="AQ24">
        <v>1333848</v>
      </c>
      <c r="AR24">
        <v>1373631</v>
      </c>
      <c r="AS24">
        <v>1299429</v>
      </c>
      <c r="AT24">
        <v>1139403</v>
      </c>
      <c r="AU24">
        <v>1226568</v>
      </c>
      <c r="AV24">
        <v>1471971</v>
      </c>
      <c r="AW24">
        <v>1426824</v>
      </c>
      <c r="AX24">
        <v>1243107</v>
      </c>
      <c r="AY24">
        <v>1359327</v>
      </c>
      <c r="AZ24">
        <v>1180527</v>
      </c>
      <c r="BA24">
        <v>1222098</v>
      </c>
      <c r="BB24">
        <v>1236849</v>
      </c>
      <c r="BC24">
        <v>1402686</v>
      </c>
    </row>
    <row r="25" spans="1:55" x14ac:dyDescent="0.3">
      <c r="A25">
        <v>2032</v>
      </c>
      <c r="B25">
        <v>1366926</v>
      </c>
      <c r="C25">
        <v>1385700</v>
      </c>
      <c r="D25">
        <v>1350834</v>
      </c>
      <c r="E25">
        <v>1424142</v>
      </c>
      <c r="F25">
        <v>1358433</v>
      </c>
      <c r="G25">
        <v>1808115</v>
      </c>
      <c r="H25">
        <v>1833147</v>
      </c>
      <c r="I25">
        <v>1828230</v>
      </c>
      <c r="J25">
        <v>1788447</v>
      </c>
      <c r="K25">
        <v>1867566</v>
      </c>
      <c r="L25">
        <v>2325294</v>
      </c>
      <c r="M25">
        <v>2323506</v>
      </c>
      <c r="N25">
        <v>2356584</v>
      </c>
      <c r="O25">
        <v>2349879</v>
      </c>
      <c r="P25">
        <v>2282829</v>
      </c>
      <c r="Q25">
        <v>2757990</v>
      </c>
      <c r="R25">
        <v>2383404</v>
      </c>
      <c r="S25">
        <v>2513034</v>
      </c>
      <c r="T25">
        <v>2407542</v>
      </c>
      <c r="U25">
        <v>2482638</v>
      </c>
      <c r="V25">
        <v>3077595</v>
      </c>
      <c r="W25">
        <v>3011439</v>
      </c>
      <c r="X25">
        <v>3019038</v>
      </c>
      <c r="Y25">
        <v>3092793</v>
      </c>
      <c r="Z25">
        <v>2954223</v>
      </c>
      <c r="AA25">
        <v>3217506</v>
      </c>
      <c r="AB25">
        <v>3296625</v>
      </c>
      <c r="AC25">
        <v>3262653</v>
      </c>
      <c r="AD25">
        <v>3251031</v>
      </c>
      <c r="AE25">
        <v>3206331</v>
      </c>
      <c r="AF25">
        <v>7387122</v>
      </c>
      <c r="AG25">
        <v>7171221</v>
      </c>
      <c r="AH25">
        <v>7319625</v>
      </c>
      <c r="AI25">
        <v>7057236</v>
      </c>
      <c r="AJ25">
        <v>7142613</v>
      </c>
      <c r="AK25">
        <v>19632687</v>
      </c>
      <c r="AL25">
        <v>19100310</v>
      </c>
      <c r="AM25">
        <v>18866976</v>
      </c>
      <c r="AN25">
        <v>18852225</v>
      </c>
      <c r="AO25">
        <v>18714102</v>
      </c>
      <c r="AP25">
        <v>1443363</v>
      </c>
      <c r="AQ25">
        <v>1454091</v>
      </c>
      <c r="AR25">
        <v>1517565</v>
      </c>
      <c r="AS25">
        <v>1416990</v>
      </c>
      <c r="AT25">
        <v>1248024</v>
      </c>
      <c r="AU25">
        <v>1347258</v>
      </c>
      <c r="AV25">
        <v>1612776</v>
      </c>
      <c r="AW25">
        <v>1564500</v>
      </c>
      <c r="AX25">
        <v>1365585</v>
      </c>
      <c r="AY25">
        <v>1486275</v>
      </c>
      <c r="AZ25">
        <v>1303452</v>
      </c>
      <c r="BA25">
        <v>1344576</v>
      </c>
      <c r="BB25">
        <v>1356645</v>
      </c>
      <c r="BC25">
        <v>1515330</v>
      </c>
    </row>
    <row r="26" spans="1:55" x14ac:dyDescent="0.3">
      <c r="A26">
        <v>2033</v>
      </c>
      <c r="B26">
        <v>1440681</v>
      </c>
      <c r="C26">
        <v>1458114</v>
      </c>
      <c r="D26">
        <v>1418331</v>
      </c>
      <c r="E26">
        <v>1513095</v>
      </c>
      <c r="F26">
        <v>1437105</v>
      </c>
      <c r="G26">
        <v>2066481</v>
      </c>
      <c r="H26">
        <v>2090619</v>
      </c>
      <c r="I26">
        <v>2100006</v>
      </c>
      <c r="J26">
        <v>2023569</v>
      </c>
      <c r="K26">
        <v>2146047</v>
      </c>
      <c r="L26">
        <v>2752626</v>
      </c>
      <c r="M26">
        <v>2784363</v>
      </c>
      <c r="N26">
        <v>2772741</v>
      </c>
      <c r="O26">
        <v>2785704</v>
      </c>
      <c r="P26">
        <v>2677083</v>
      </c>
      <c r="Q26">
        <v>3171018</v>
      </c>
      <c r="R26">
        <v>2615397</v>
      </c>
      <c r="S26">
        <v>2829957</v>
      </c>
      <c r="T26">
        <v>2669484</v>
      </c>
      <c r="U26">
        <v>2783022</v>
      </c>
      <c r="V26">
        <v>3413739</v>
      </c>
      <c r="W26">
        <v>3384237</v>
      </c>
      <c r="X26">
        <v>3379320</v>
      </c>
      <c r="Y26">
        <v>3467826</v>
      </c>
      <c r="Z26">
        <v>3326127</v>
      </c>
      <c r="AA26">
        <v>3683727</v>
      </c>
      <c r="AB26">
        <v>3746307</v>
      </c>
      <c r="AC26">
        <v>3692220</v>
      </c>
      <c r="AD26">
        <v>3741837</v>
      </c>
      <c r="AE26">
        <v>3647967</v>
      </c>
      <c r="AF26">
        <v>8383038</v>
      </c>
      <c r="AG26">
        <v>8330292</v>
      </c>
      <c r="AH26">
        <v>8425503</v>
      </c>
      <c r="AI26">
        <v>8055387</v>
      </c>
      <c r="AJ26">
        <v>8151492</v>
      </c>
      <c r="AK26">
        <v>22388442</v>
      </c>
      <c r="AL26">
        <v>21873498</v>
      </c>
      <c r="AM26">
        <v>21657597</v>
      </c>
      <c r="AN26">
        <v>21562386</v>
      </c>
      <c r="AO26">
        <v>21441696</v>
      </c>
      <c r="AP26">
        <v>1584168</v>
      </c>
      <c r="AQ26">
        <v>1580145</v>
      </c>
      <c r="AR26">
        <v>1657923</v>
      </c>
      <c r="AS26">
        <v>1536339</v>
      </c>
      <c r="AT26">
        <v>1349493</v>
      </c>
      <c r="AU26">
        <v>1485828</v>
      </c>
      <c r="AV26">
        <v>1788447</v>
      </c>
      <c r="AW26">
        <v>1715586</v>
      </c>
      <c r="AX26">
        <v>1492980</v>
      </c>
      <c r="AY26">
        <v>1614117</v>
      </c>
      <c r="AZ26">
        <v>1421460</v>
      </c>
      <c r="BA26">
        <v>1469736</v>
      </c>
      <c r="BB26">
        <v>1475994</v>
      </c>
      <c r="BC26">
        <v>1651218</v>
      </c>
    </row>
    <row r="27" spans="1:55" x14ac:dyDescent="0.3">
      <c r="A27">
        <v>2034</v>
      </c>
      <c r="B27">
        <v>1547961</v>
      </c>
      <c r="C27">
        <v>1567629</v>
      </c>
      <c r="D27">
        <v>1508178</v>
      </c>
      <c r="E27">
        <v>1637808</v>
      </c>
      <c r="F27">
        <v>1533210</v>
      </c>
      <c r="G27">
        <v>2330211</v>
      </c>
      <c r="H27">
        <v>2330658</v>
      </c>
      <c r="I27">
        <v>2353902</v>
      </c>
      <c r="J27">
        <v>2271207</v>
      </c>
      <c r="K27">
        <v>2403072</v>
      </c>
      <c r="L27">
        <v>3179064</v>
      </c>
      <c r="M27">
        <v>3204990</v>
      </c>
      <c r="N27">
        <v>3177276</v>
      </c>
      <c r="O27">
        <v>3199179</v>
      </c>
      <c r="P27">
        <v>3085194</v>
      </c>
      <c r="Q27">
        <v>3618912</v>
      </c>
      <c r="R27">
        <v>2913993</v>
      </c>
      <c r="S27">
        <v>3224658</v>
      </c>
      <c r="T27">
        <v>3002052</v>
      </c>
      <c r="U27">
        <v>3175488</v>
      </c>
      <c r="V27">
        <v>3831237</v>
      </c>
      <c r="W27">
        <v>3825426</v>
      </c>
      <c r="X27">
        <v>3807993</v>
      </c>
      <c r="Y27">
        <v>3888900</v>
      </c>
      <c r="Z27">
        <v>3750330</v>
      </c>
      <c r="AA27">
        <v>4175427</v>
      </c>
      <c r="AB27">
        <v>4226385</v>
      </c>
      <c r="AC27">
        <v>4186602</v>
      </c>
      <c r="AD27">
        <v>4250970</v>
      </c>
      <c r="AE27">
        <v>4173192</v>
      </c>
      <c r="AF27">
        <v>9469695</v>
      </c>
      <c r="AG27">
        <v>9486681</v>
      </c>
      <c r="AH27">
        <v>9599325</v>
      </c>
      <c r="AI27">
        <v>9246195</v>
      </c>
      <c r="AJ27">
        <v>9308328</v>
      </c>
      <c r="AK27">
        <v>25036917</v>
      </c>
      <c r="AL27">
        <v>24449559</v>
      </c>
      <c r="AM27">
        <v>24461628</v>
      </c>
      <c r="AN27">
        <v>24082125</v>
      </c>
      <c r="AO27">
        <v>24048600</v>
      </c>
      <c r="AP27">
        <v>1730784</v>
      </c>
      <c r="AQ27">
        <v>1745535</v>
      </c>
      <c r="AR27">
        <v>1821078</v>
      </c>
      <c r="AS27">
        <v>1688766</v>
      </c>
      <c r="AT27">
        <v>1465713</v>
      </c>
      <c r="AU27">
        <v>1630209</v>
      </c>
      <c r="AV27">
        <v>1990491</v>
      </c>
      <c r="AW27">
        <v>1919865</v>
      </c>
      <c r="AX27">
        <v>1650771</v>
      </c>
      <c r="AY27">
        <v>1763415</v>
      </c>
      <c r="AZ27">
        <v>1561371</v>
      </c>
      <c r="BA27">
        <v>1626633</v>
      </c>
      <c r="BB27">
        <v>1623951</v>
      </c>
      <c r="BC27">
        <v>1820631</v>
      </c>
    </row>
    <row r="28" spans="1:55" x14ac:dyDescent="0.3">
      <c r="A28">
        <v>2035</v>
      </c>
      <c r="B28">
        <v>1690107</v>
      </c>
      <c r="C28">
        <v>1738383</v>
      </c>
      <c r="D28">
        <v>1653453</v>
      </c>
      <c r="E28">
        <v>1813032</v>
      </c>
      <c r="F28">
        <v>1679826</v>
      </c>
      <c r="G28">
        <v>2617185</v>
      </c>
      <c r="H28">
        <v>2599752</v>
      </c>
      <c r="I28">
        <v>2652051</v>
      </c>
      <c r="J28">
        <v>2547006</v>
      </c>
      <c r="K28">
        <v>2674401</v>
      </c>
      <c r="L28">
        <v>3643497</v>
      </c>
      <c r="M28">
        <v>3630981</v>
      </c>
      <c r="N28">
        <v>3608631</v>
      </c>
      <c r="O28">
        <v>3624276</v>
      </c>
      <c r="P28">
        <v>3537558</v>
      </c>
      <c r="Q28">
        <v>4065018</v>
      </c>
      <c r="R28">
        <v>3326574</v>
      </c>
      <c r="S28">
        <v>3711441</v>
      </c>
      <c r="T28">
        <v>3433407</v>
      </c>
      <c r="U28">
        <v>3672552</v>
      </c>
      <c r="V28">
        <v>4314444</v>
      </c>
      <c r="W28">
        <v>4296117</v>
      </c>
      <c r="X28">
        <v>4299693</v>
      </c>
      <c r="Y28">
        <v>4373448</v>
      </c>
      <c r="Z28">
        <v>4232643</v>
      </c>
      <c r="AA28">
        <v>4680537</v>
      </c>
      <c r="AB28">
        <v>4743564</v>
      </c>
      <c r="AC28">
        <v>4705122</v>
      </c>
      <c r="AD28">
        <v>4752951</v>
      </c>
      <c r="AE28">
        <v>4723002</v>
      </c>
      <c r="AF28">
        <v>10453542</v>
      </c>
      <c r="AG28">
        <v>10479915</v>
      </c>
      <c r="AH28">
        <v>10583172</v>
      </c>
      <c r="AI28">
        <v>10343133</v>
      </c>
      <c r="AJ28">
        <v>10335534</v>
      </c>
      <c r="AK28">
        <v>27339414</v>
      </c>
      <c r="AL28">
        <v>26817765</v>
      </c>
      <c r="AM28">
        <v>26770830</v>
      </c>
      <c r="AN28">
        <v>26392668</v>
      </c>
      <c r="AO28">
        <v>26565657</v>
      </c>
      <c r="AP28">
        <v>1906008</v>
      </c>
      <c r="AQ28">
        <v>1941768</v>
      </c>
      <c r="AR28">
        <v>2013735</v>
      </c>
      <c r="AS28">
        <v>1872930</v>
      </c>
      <c r="AT28">
        <v>1620375</v>
      </c>
      <c r="AU28">
        <v>1807221</v>
      </c>
      <c r="AV28">
        <v>2227848</v>
      </c>
      <c r="AW28">
        <v>2147835</v>
      </c>
      <c r="AX28">
        <v>1838511</v>
      </c>
      <c r="AY28">
        <v>1974846</v>
      </c>
      <c r="AZ28">
        <v>1722291</v>
      </c>
      <c r="BA28">
        <v>1802751</v>
      </c>
      <c r="BB28">
        <v>1812585</v>
      </c>
      <c r="BC28">
        <v>2039661</v>
      </c>
    </row>
    <row r="29" spans="1:55" x14ac:dyDescent="0.3">
      <c r="A29">
        <v>2036</v>
      </c>
      <c r="B29">
        <v>1841640</v>
      </c>
      <c r="C29">
        <v>1889469</v>
      </c>
      <c r="D29">
        <v>1797834</v>
      </c>
      <c r="E29">
        <v>1968588</v>
      </c>
      <c r="F29">
        <v>1818396</v>
      </c>
      <c r="G29">
        <v>2846496</v>
      </c>
      <c r="H29">
        <v>2837556</v>
      </c>
      <c r="I29">
        <v>2920698</v>
      </c>
      <c r="J29">
        <v>2779893</v>
      </c>
      <c r="K29">
        <v>2915334</v>
      </c>
      <c r="L29">
        <v>4069041</v>
      </c>
      <c r="M29">
        <v>4019424</v>
      </c>
      <c r="N29">
        <v>4027023</v>
      </c>
      <c r="O29">
        <v>4038645</v>
      </c>
      <c r="P29">
        <v>3976512</v>
      </c>
      <c r="Q29">
        <v>4467765</v>
      </c>
      <c r="R29">
        <v>3822297</v>
      </c>
      <c r="S29">
        <v>4197777</v>
      </c>
      <c r="T29">
        <v>3927789</v>
      </c>
      <c r="U29">
        <v>4152183</v>
      </c>
      <c r="V29">
        <v>4860231</v>
      </c>
      <c r="W29">
        <v>4806591</v>
      </c>
      <c r="X29">
        <v>4794969</v>
      </c>
      <c r="Y29">
        <v>4897779</v>
      </c>
      <c r="Z29">
        <v>4712721</v>
      </c>
      <c r="AA29">
        <v>5150334</v>
      </c>
      <c r="AB29">
        <v>5229006</v>
      </c>
      <c r="AC29">
        <v>5188776</v>
      </c>
      <c r="AD29">
        <v>5230347</v>
      </c>
      <c r="AE29">
        <v>5219619</v>
      </c>
      <c r="AF29">
        <v>11527683</v>
      </c>
      <c r="AG29">
        <v>11529918</v>
      </c>
      <c r="AH29">
        <v>11489688</v>
      </c>
      <c r="AI29">
        <v>11430684</v>
      </c>
      <c r="AJ29">
        <v>11454822</v>
      </c>
      <c r="AK29">
        <v>29387121</v>
      </c>
      <c r="AL29">
        <v>28889610</v>
      </c>
      <c r="AM29">
        <v>29058576</v>
      </c>
      <c r="AN29">
        <v>28695165</v>
      </c>
      <c r="AO29">
        <v>29015664</v>
      </c>
      <c r="AP29">
        <v>2082573</v>
      </c>
      <c r="AQ29">
        <v>2150070</v>
      </c>
      <c r="AR29">
        <v>2195664</v>
      </c>
      <c r="AS29">
        <v>2070951</v>
      </c>
      <c r="AT29">
        <v>1790682</v>
      </c>
      <c r="AU29">
        <v>1997196</v>
      </c>
      <c r="AV29">
        <v>2474145</v>
      </c>
      <c r="AW29">
        <v>2354349</v>
      </c>
      <c r="AX29">
        <v>2012841</v>
      </c>
      <c r="AY29">
        <v>2171079</v>
      </c>
      <c r="AZ29">
        <v>1877847</v>
      </c>
      <c r="BA29">
        <v>1981551</v>
      </c>
      <c r="BB29">
        <v>1978869</v>
      </c>
      <c r="BC29">
        <v>2222037</v>
      </c>
    </row>
    <row r="30" spans="1:55" x14ac:dyDescent="0.3">
      <c r="A30">
        <v>2037</v>
      </c>
      <c r="B30">
        <v>1971717</v>
      </c>
      <c r="C30">
        <v>2016417</v>
      </c>
      <c r="D30">
        <v>1927911</v>
      </c>
      <c r="E30">
        <v>2087043</v>
      </c>
      <c r="F30">
        <v>1946238</v>
      </c>
      <c r="G30">
        <v>2999817</v>
      </c>
      <c r="H30">
        <v>3006969</v>
      </c>
      <c r="I30">
        <v>3084300</v>
      </c>
      <c r="J30">
        <v>2926956</v>
      </c>
      <c r="K30">
        <v>3075360</v>
      </c>
      <c r="L30">
        <v>4403397</v>
      </c>
      <c r="M30">
        <v>4342158</v>
      </c>
      <c r="N30">
        <v>4363614</v>
      </c>
      <c r="O30">
        <v>4371660</v>
      </c>
      <c r="P30">
        <v>4324278</v>
      </c>
      <c r="Q30">
        <v>4868724</v>
      </c>
      <c r="R30">
        <v>4319361</v>
      </c>
      <c r="S30">
        <v>4596948</v>
      </c>
      <c r="T30">
        <v>4397586</v>
      </c>
      <c r="U30">
        <v>4579068</v>
      </c>
      <c r="V30">
        <v>5340756</v>
      </c>
      <c r="W30">
        <v>5275494</v>
      </c>
      <c r="X30">
        <v>5269683</v>
      </c>
      <c r="Y30">
        <v>5359530</v>
      </c>
      <c r="Z30">
        <v>5169555</v>
      </c>
      <c r="AA30">
        <v>5585712</v>
      </c>
      <c r="AB30">
        <v>5664384</v>
      </c>
      <c r="AC30">
        <v>5630412</v>
      </c>
      <c r="AD30">
        <v>5640693</v>
      </c>
      <c r="AE30">
        <v>5621025</v>
      </c>
      <c r="AF30">
        <v>12621492</v>
      </c>
      <c r="AG30">
        <v>12472641</v>
      </c>
      <c r="AH30">
        <v>12473088</v>
      </c>
      <c r="AI30">
        <v>12414084</v>
      </c>
      <c r="AJ30">
        <v>12460125</v>
      </c>
      <c r="AK30">
        <v>31370460</v>
      </c>
      <c r="AL30">
        <v>31099578</v>
      </c>
      <c r="AM30">
        <v>31036551</v>
      </c>
      <c r="AN30">
        <v>30897087</v>
      </c>
      <c r="AO30">
        <v>31173333</v>
      </c>
      <c r="AP30">
        <v>2258244</v>
      </c>
      <c r="AQ30">
        <v>2327529</v>
      </c>
      <c r="AR30">
        <v>2375805</v>
      </c>
      <c r="AS30">
        <v>2244387</v>
      </c>
      <c r="AT30">
        <v>1974399</v>
      </c>
      <c r="AU30">
        <v>2172420</v>
      </c>
      <c r="AV30">
        <v>2736087</v>
      </c>
      <c r="AW30">
        <v>2539407</v>
      </c>
      <c r="AX30">
        <v>2183148</v>
      </c>
      <c r="AY30">
        <v>2346303</v>
      </c>
      <c r="AZ30">
        <v>2046366</v>
      </c>
      <c r="BA30">
        <v>2146494</v>
      </c>
      <c r="BB30">
        <v>2146494</v>
      </c>
      <c r="BC30">
        <v>2407095</v>
      </c>
    </row>
    <row r="31" spans="1:55" x14ac:dyDescent="0.3">
      <c r="A31">
        <v>2038</v>
      </c>
      <c r="B31">
        <v>2109840</v>
      </c>
      <c r="C31">
        <v>2145153</v>
      </c>
      <c r="D31">
        <v>2069610</v>
      </c>
      <c r="E31">
        <v>2228742</v>
      </c>
      <c r="F31">
        <v>2083914</v>
      </c>
      <c r="G31">
        <v>3268464</v>
      </c>
      <c r="H31">
        <v>3294837</v>
      </c>
      <c r="I31">
        <v>3327468</v>
      </c>
      <c r="J31">
        <v>3192027</v>
      </c>
      <c r="K31">
        <v>3359205</v>
      </c>
      <c r="L31">
        <v>4785582</v>
      </c>
      <c r="M31">
        <v>4762338</v>
      </c>
      <c r="N31">
        <v>4763679</v>
      </c>
      <c r="O31">
        <v>4766361</v>
      </c>
      <c r="P31">
        <v>4690818</v>
      </c>
      <c r="Q31">
        <v>5281752</v>
      </c>
      <c r="R31">
        <v>4712721</v>
      </c>
      <c r="S31">
        <v>4942479</v>
      </c>
      <c r="T31">
        <v>4762785</v>
      </c>
      <c r="U31">
        <v>4919682</v>
      </c>
      <c r="V31">
        <v>5744397</v>
      </c>
      <c r="W31">
        <v>5671983</v>
      </c>
      <c r="X31">
        <v>5678241</v>
      </c>
      <c r="Y31">
        <v>5785521</v>
      </c>
      <c r="Z31">
        <v>5591523</v>
      </c>
      <c r="AA31">
        <v>6010809</v>
      </c>
      <c r="AB31">
        <v>6065343</v>
      </c>
      <c r="AC31">
        <v>6038523</v>
      </c>
      <c r="AD31">
        <v>6031818</v>
      </c>
      <c r="AE31">
        <v>5992482</v>
      </c>
      <c r="AF31">
        <v>13134648</v>
      </c>
      <c r="AG31">
        <v>12869577</v>
      </c>
      <c r="AH31">
        <v>12916065</v>
      </c>
      <c r="AI31">
        <v>12862872</v>
      </c>
      <c r="AJ31">
        <v>12926793</v>
      </c>
      <c r="AK31">
        <v>32373528</v>
      </c>
      <c r="AL31">
        <v>32160309</v>
      </c>
      <c r="AM31">
        <v>32044983</v>
      </c>
      <c r="AN31">
        <v>31948431</v>
      </c>
      <c r="AO31">
        <v>32124102</v>
      </c>
      <c r="AP31">
        <v>2449113</v>
      </c>
      <c r="AQ31">
        <v>2507223</v>
      </c>
      <c r="AR31">
        <v>2565333</v>
      </c>
      <c r="AS31">
        <v>2424528</v>
      </c>
      <c r="AT31">
        <v>2175102</v>
      </c>
      <c r="AU31">
        <v>2339598</v>
      </c>
      <c r="AV31">
        <v>3026190</v>
      </c>
      <c r="AW31">
        <v>2755755</v>
      </c>
      <c r="AX31">
        <v>2368653</v>
      </c>
      <c r="AY31">
        <v>2530467</v>
      </c>
      <c r="AZ31">
        <v>2230530</v>
      </c>
      <c r="BA31">
        <v>2319483</v>
      </c>
      <c r="BB31">
        <v>2327082</v>
      </c>
      <c r="BC31">
        <v>2607798</v>
      </c>
    </row>
    <row r="32" spans="1:55" x14ac:dyDescent="0.3">
      <c r="A32">
        <v>2039</v>
      </c>
      <c r="B32">
        <v>2217567</v>
      </c>
      <c r="C32">
        <v>2254668</v>
      </c>
      <c r="D32">
        <v>2172867</v>
      </c>
      <c r="E32">
        <v>2365077</v>
      </c>
      <c r="F32">
        <v>2194770</v>
      </c>
      <c r="G32">
        <v>3614442</v>
      </c>
      <c r="H32">
        <v>3641709</v>
      </c>
      <c r="I32">
        <v>3670764</v>
      </c>
      <c r="J32">
        <v>3509844</v>
      </c>
      <c r="K32">
        <v>3716358</v>
      </c>
      <c r="L32">
        <v>5273259</v>
      </c>
      <c r="M32">
        <v>5284881</v>
      </c>
      <c r="N32">
        <v>5233029</v>
      </c>
      <c r="O32">
        <v>5267448</v>
      </c>
      <c r="P32">
        <v>5156145</v>
      </c>
      <c r="Q32">
        <v>5730987</v>
      </c>
      <c r="R32">
        <v>5030091</v>
      </c>
      <c r="S32">
        <v>5280858</v>
      </c>
      <c r="T32">
        <v>5085966</v>
      </c>
      <c r="U32">
        <v>5242416</v>
      </c>
      <c r="V32">
        <v>6109596</v>
      </c>
      <c r="W32">
        <v>6069366</v>
      </c>
      <c r="X32">
        <v>6073389</v>
      </c>
      <c r="Y32">
        <v>6193185</v>
      </c>
      <c r="Z32">
        <v>5995611</v>
      </c>
      <c r="AA32">
        <v>6412662</v>
      </c>
      <c r="AB32">
        <v>6428307</v>
      </c>
      <c r="AC32">
        <v>6412662</v>
      </c>
      <c r="AD32">
        <v>6441717</v>
      </c>
      <c r="AE32">
        <v>6376008</v>
      </c>
      <c r="AF32">
        <v>13569132</v>
      </c>
      <c r="AG32">
        <v>13461852</v>
      </c>
      <c r="AH32">
        <v>13466769</v>
      </c>
      <c r="AI32">
        <v>13377369</v>
      </c>
      <c r="AJ32">
        <v>13397484</v>
      </c>
      <c r="AK32">
        <v>33340389</v>
      </c>
      <c r="AL32">
        <v>33258588</v>
      </c>
      <c r="AM32">
        <v>33250542</v>
      </c>
      <c r="AN32">
        <v>33052074</v>
      </c>
      <c r="AO32">
        <v>33331002</v>
      </c>
      <c r="AP32">
        <v>2656074</v>
      </c>
      <c r="AQ32">
        <v>2692281</v>
      </c>
      <c r="AR32">
        <v>2775870</v>
      </c>
      <c r="AS32">
        <v>2597070</v>
      </c>
      <c r="AT32">
        <v>2359266</v>
      </c>
      <c r="AU32">
        <v>2515716</v>
      </c>
      <c r="AV32">
        <v>3373062</v>
      </c>
      <c r="AW32">
        <v>2997582</v>
      </c>
      <c r="AX32">
        <v>2561310</v>
      </c>
      <c r="AY32">
        <v>2711949</v>
      </c>
      <c r="AZ32">
        <v>2396367</v>
      </c>
      <c r="BA32">
        <v>2501412</v>
      </c>
      <c r="BB32">
        <v>2496048</v>
      </c>
      <c r="BC32">
        <v>2838003</v>
      </c>
    </row>
    <row r="33" spans="1:55" x14ac:dyDescent="0.3">
      <c r="A33">
        <v>2040</v>
      </c>
      <c r="B33">
        <v>2357925</v>
      </c>
      <c r="C33">
        <v>2387874</v>
      </c>
      <c r="D33">
        <v>2296239</v>
      </c>
      <c r="E33">
        <v>2523315</v>
      </c>
      <c r="F33">
        <v>2317248</v>
      </c>
      <c r="G33">
        <v>3969807</v>
      </c>
      <c r="H33">
        <v>3967125</v>
      </c>
      <c r="I33">
        <v>4014954</v>
      </c>
      <c r="J33">
        <v>3838836</v>
      </c>
      <c r="K33">
        <v>4060101</v>
      </c>
      <c r="L33">
        <v>5701485</v>
      </c>
      <c r="M33">
        <v>5723835</v>
      </c>
      <c r="N33">
        <v>5636670</v>
      </c>
      <c r="O33">
        <v>5693886</v>
      </c>
      <c r="P33">
        <v>5589735</v>
      </c>
      <c r="Q33">
        <v>6194526</v>
      </c>
      <c r="R33">
        <v>5364447</v>
      </c>
      <c r="S33">
        <v>5692098</v>
      </c>
      <c r="T33">
        <v>5440437</v>
      </c>
      <c r="U33">
        <v>5657232</v>
      </c>
      <c r="V33">
        <v>6539163</v>
      </c>
      <c r="W33">
        <v>6522177</v>
      </c>
      <c r="X33">
        <v>6518601</v>
      </c>
      <c r="Y33">
        <v>6624987</v>
      </c>
      <c r="Z33">
        <v>6448869</v>
      </c>
      <c r="AA33">
        <v>6789036</v>
      </c>
      <c r="AB33">
        <v>6794400</v>
      </c>
      <c r="AC33">
        <v>6794400</v>
      </c>
      <c r="AD33">
        <v>6844911</v>
      </c>
      <c r="AE33">
        <v>6785907</v>
      </c>
      <c r="AF33">
        <v>14088993</v>
      </c>
      <c r="AG33">
        <v>14035353</v>
      </c>
      <c r="AH33">
        <v>14013003</v>
      </c>
      <c r="AI33">
        <v>13947294</v>
      </c>
      <c r="AJ33">
        <v>13920027</v>
      </c>
      <c r="AK33">
        <v>34261656</v>
      </c>
      <c r="AL33">
        <v>34018935</v>
      </c>
      <c r="AM33">
        <v>34234836</v>
      </c>
      <c r="AN33">
        <v>33860697</v>
      </c>
      <c r="AO33">
        <v>34230813</v>
      </c>
      <c r="AP33">
        <v>2869293</v>
      </c>
      <c r="AQ33">
        <v>2913993</v>
      </c>
      <c r="AR33">
        <v>3026190</v>
      </c>
      <c r="AS33">
        <v>2793750</v>
      </c>
      <c r="AT33">
        <v>2545665</v>
      </c>
      <c r="AU33">
        <v>2692728</v>
      </c>
      <c r="AV33">
        <v>3770892</v>
      </c>
      <c r="AW33">
        <v>3310482</v>
      </c>
      <c r="AX33">
        <v>2767824</v>
      </c>
      <c r="AY33">
        <v>2930979</v>
      </c>
      <c r="AZ33">
        <v>2585001</v>
      </c>
      <c r="BA33">
        <v>2707926</v>
      </c>
      <c r="BB33">
        <v>2697645</v>
      </c>
      <c r="BC33">
        <v>3113355</v>
      </c>
    </row>
    <row r="34" spans="1:55" x14ac:dyDescent="0.3">
      <c r="A34">
        <v>2041</v>
      </c>
      <c r="B34">
        <v>2532255</v>
      </c>
      <c r="C34">
        <v>2586789</v>
      </c>
      <c r="D34">
        <v>2462076</v>
      </c>
      <c r="E34">
        <v>2742792</v>
      </c>
      <c r="F34">
        <v>2496495</v>
      </c>
      <c r="G34">
        <v>4344393</v>
      </c>
      <c r="H34">
        <v>4307292</v>
      </c>
      <c r="I34">
        <v>4389540</v>
      </c>
      <c r="J34">
        <v>4187496</v>
      </c>
      <c r="K34">
        <v>4404291</v>
      </c>
      <c r="L34">
        <v>6144015</v>
      </c>
      <c r="M34">
        <v>6135075</v>
      </c>
      <c r="N34">
        <v>6055956</v>
      </c>
      <c r="O34">
        <v>6111831</v>
      </c>
      <c r="P34">
        <v>6034947</v>
      </c>
      <c r="Q34">
        <v>6647337</v>
      </c>
      <c r="R34">
        <v>5785074</v>
      </c>
      <c r="S34">
        <v>6202572</v>
      </c>
      <c r="T34">
        <v>5885202</v>
      </c>
      <c r="U34">
        <v>6165024</v>
      </c>
      <c r="V34">
        <v>7006278</v>
      </c>
      <c r="W34">
        <v>6991080</v>
      </c>
      <c r="X34">
        <v>7000467</v>
      </c>
      <c r="Y34">
        <v>7088973</v>
      </c>
      <c r="Z34">
        <v>6934758</v>
      </c>
      <c r="AA34">
        <v>7182396</v>
      </c>
      <c r="AB34">
        <v>7198935</v>
      </c>
      <c r="AC34">
        <v>7187313</v>
      </c>
      <c r="AD34">
        <v>7228437</v>
      </c>
      <c r="AE34">
        <v>7209216</v>
      </c>
      <c r="AF34">
        <v>14531970</v>
      </c>
      <c r="AG34">
        <v>14462685</v>
      </c>
      <c r="AH34">
        <v>14457321</v>
      </c>
      <c r="AI34">
        <v>14433630</v>
      </c>
      <c r="AJ34">
        <v>14401893</v>
      </c>
      <c r="AK34">
        <v>35168172</v>
      </c>
      <c r="AL34">
        <v>34808784</v>
      </c>
      <c r="AM34">
        <v>34952271</v>
      </c>
      <c r="AN34">
        <v>34544607</v>
      </c>
      <c r="AO34">
        <v>35039436</v>
      </c>
      <c r="AP34">
        <v>3113802</v>
      </c>
      <c r="AQ34">
        <v>3187557</v>
      </c>
      <c r="AR34">
        <v>3317634</v>
      </c>
      <c r="AS34">
        <v>3043623</v>
      </c>
      <c r="AT34">
        <v>2762907</v>
      </c>
      <c r="AU34">
        <v>2923380</v>
      </c>
      <c r="AV34">
        <v>4213869</v>
      </c>
      <c r="AW34">
        <v>3681939</v>
      </c>
      <c r="AX34">
        <v>3015909</v>
      </c>
      <c r="AY34">
        <v>3202755</v>
      </c>
      <c r="AZ34">
        <v>2799561</v>
      </c>
      <c r="BA34">
        <v>2941260</v>
      </c>
      <c r="BB34">
        <v>2938131</v>
      </c>
      <c r="BC34">
        <v>3472743</v>
      </c>
    </row>
    <row r="35" spans="1:55" x14ac:dyDescent="0.3">
      <c r="A35">
        <v>2042</v>
      </c>
      <c r="B35">
        <v>2722230</v>
      </c>
      <c r="C35">
        <v>2780340</v>
      </c>
      <c r="D35">
        <v>2646240</v>
      </c>
      <c r="E35">
        <v>2954223</v>
      </c>
      <c r="F35">
        <v>2672613</v>
      </c>
      <c r="G35">
        <v>4661316</v>
      </c>
      <c r="H35">
        <v>4615275</v>
      </c>
      <c r="I35">
        <v>4741776</v>
      </c>
      <c r="J35">
        <v>4499055</v>
      </c>
      <c r="K35">
        <v>4710486</v>
      </c>
      <c r="L35">
        <v>6549444</v>
      </c>
      <c r="M35">
        <v>6510555</v>
      </c>
      <c r="N35">
        <v>6464961</v>
      </c>
      <c r="O35">
        <v>6514131</v>
      </c>
      <c r="P35">
        <v>6468984</v>
      </c>
      <c r="Q35">
        <v>7044273</v>
      </c>
      <c r="R35">
        <v>6288396</v>
      </c>
      <c r="S35">
        <v>6710364</v>
      </c>
      <c r="T35">
        <v>6400146</v>
      </c>
      <c r="U35">
        <v>6664323</v>
      </c>
      <c r="V35">
        <v>7479204</v>
      </c>
      <c r="W35">
        <v>7452831</v>
      </c>
      <c r="X35">
        <v>7465794</v>
      </c>
      <c r="Y35">
        <v>7531056</v>
      </c>
      <c r="Z35">
        <v>7395168</v>
      </c>
      <c r="AA35">
        <v>7551618</v>
      </c>
      <c r="AB35">
        <v>7583802</v>
      </c>
      <c r="AC35">
        <v>7575309</v>
      </c>
      <c r="AD35">
        <v>7602576</v>
      </c>
      <c r="AE35">
        <v>7608387</v>
      </c>
      <c r="AF35">
        <v>14989251</v>
      </c>
      <c r="AG35">
        <v>14952597</v>
      </c>
      <c r="AH35">
        <v>14876160</v>
      </c>
      <c r="AI35">
        <v>14940975</v>
      </c>
      <c r="AJ35">
        <v>14934717</v>
      </c>
      <c r="AK35">
        <v>35797101</v>
      </c>
      <c r="AL35">
        <v>35473920</v>
      </c>
      <c r="AM35">
        <v>35608020</v>
      </c>
      <c r="AN35">
        <v>35388096</v>
      </c>
      <c r="AO35">
        <v>35739438</v>
      </c>
      <c r="AP35">
        <v>3380214</v>
      </c>
      <c r="AQ35">
        <v>3491517</v>
      </c>
      <c r="AR35">
        <v>3623829</v>
      </c>
      <c r="AS35">
        <v>3310482</v>
      </c>
      <c r="AT35">
        <v>2980596</v>
      </c>
      <c r="AU35">
        <v>3156267</v>
      </c>
      <c r="AV35">
        <v>4679196</v>
      </c>
      <c r="AW35">
        <v>4060995</v>
      </c>
      <c r="AX35">
        <v>3262653</v>
      </c>
      <c r="AY35">
        <v>3497328</v>
      </c>
      <c r="AZ35">
        <v>3006522</v>
      </c>
      <c r="BA35">
        <v>3171465</v>
      </c>
      <c r="BB35">
        <v>3177723</v>
      </c>
      <c r="BC35">
        <v>3854034</v>
      </c>
    </row>
    <row r="36" spans="1:55" x14ac:dyDescent="0.3">
      <c r="A36">
        <v>2043</v>
      </c>
      <c r="B36">
        <v>2905500</v>
      </c>
      <c r="C36">
        <v>2957799</v>
      </c>
      <c r="D36">
        <v>2827722</v>
      </c>
      <c r="E36">
        <v>3115590</v>
      </c>
      <c r="F36">
        <v>2853201</v>
      </c>
      <c r="G36">
        <v>4878558</v>
      </c>
      <c r="H36">
        <v>4838775</v>
      </c>
      <c r="I36">
        <v>4974216</v>
      </c>
      <c r="J36">
        <v>4707357</v>
      </c>
      <c r="K36">
        <v>4924152</v>
      </c>
      <c r="L36">
        <v>6834183</v>
      </c>
      <c r="M36">
        <v>6795741</v>
      </c>
      <c r="N36">
        <v>6762216</v>
      </c>
      <c r="O36">
        <v>6804234</v>
      </c>
      <c r="P36">
        <v>6793506</v>
      </c>
      <c r="Q36">
        <v>7433163</v>
      </c>
      <c r="R36">
        <v>6790377</v>
      </c>
      <c r="S36">
        <v>7123392</v>
      </c>
      <c r="T36">
        <v>6879330</v>
      </c>
      <c r="U36">
        <v>7103277</v>
      </c>
      <c r="V36">
        <v>7853343</v>
      </c>
      <c r="W36">
        <v>7837698</v>
      </c>
      <c r="X36">
        <v>7841274</v>
      </c>
      <c r="Y36">
        <v>7885080</v>
      </c>
      <c r="Z36">
        <v>7793445</v>
      </c>
      <c r="AA36">
        <v>7882845</v>
      </c>
      <c r="AB36">
        <v>7898937</v>
      </c>
      <c r="AC36">
        <v>7904748</v>
      </c>
      <c r="AD36">
        <v>7911006</v>
      </c>
      <c r="AE36">
        <v>7913241</v>
      </c>
      <c r="AF36">
        <v>15566328</v>
      </c>
      <c r="AG36">
        <v>15409878</v>
      </c>
      <c r="AH36">
        <v>15403620</v>
      </c>
      <c r="AI36">
        <v>15487209</v>
      </c>
      <c r="AJ36">
        <v>15376800</v>
      </c>
      <c r="AK36">
        <v>36611088</v>
      </c>
      <c r="AL36">
        <v>36244995</v>
      </c>
      <c r="AM36">
        <v>36352275</v>
      </c>
      <c r="AN36">
        <v>36069324</v>
      </c>
      <c r="AO36">
        <v>36521241</v>
      </c>
      <c r="AP36">
        <v>3665847</v>
      </c>
      <c r="AQ36">
        <v>3811569</v>
      </c>
      <c r="AR36">
        <v>3956844</v>
      </c>
      <c r="AS36">
        <v>3581364</v>
      </c>
      <c r="AT36">
        <v>3209460</v>
      </c>
      <c r="AU36">
        <v>3393624</v>
      </c>
      <c r="AV36">
        <v>5128878</v>
      </c>
      <c r="AW36">
        <v>4456143</v>
      </c>
      <c r="AX36">
        <v>3520572</v>
      </c>
      <c r="AY36">
        <v>3817380</v>
      </c>
      <c r="AZ36">
        <v>3217953</v>
      </c>
      <c r="BA36">
        <v>3422232</v>
      </c>
      <c r="BB36">
        <v>3410610</v>
      </c>
      <c r="BC36">
        <v>4261251</v>
      </c>
    </row>
    <row r="37" spans="1:55" x14ac:dyDescent="0.3">
      <c r="A37">
        <v>2044</v>
      </c>
      <c r="B37">
        <v>3083853</v>
      </c>
      <c r="C37">
        <v>3128553</v>
      </c>
      <c r="D37">
        <v>3019038</v>
      </c>
      <c r="E37">
        <v>3285450</v>
      </c>
      <c r="F37">
        <v>3042729</v>
      </c>
      <c r="G37">
        <v>5168661</v>
      </c>
      <c r="H37">
        <v>5143182</v>
      </c>
      <c r="I37">
        <v>5238840</v>
      </c>
      <c r="J37">
        <v>4990755</v>
      </c>
      <c r="K37">
        <v>5216490</v>
      </c>
      <c r="L37">
        <v>7147977</v>
      </c>
      <c r="M37">
        <v>7139931</v>
      </c>
      <c r="N37">
        <v>7089867</v>
      </c>
      <c r="O37">
        <v>7131438</v>
      </c>
      <c r="P37">
        <v>7104171</v>
      </c>
      <c r="Q37">
        <v>7824288</v>
      </c>
      <c r="R37">
        <v>7183290</v>
      </c>
      <c r="S37">
        <v>7470711</v>
      </c>
      <c r="T37">
        <v>7253022</v>
      </c>
      <c r="U37">
        <v>7444785</v>
      </c>
      <c r="V37">
        <v>8155962</v>
      </c>
      <c r="W37">
        <v>8134506</v>
      </c>
      <c r="X37">
        <v>8129142</v>
      </c>
      <c r="Y37">
        <v>8194851</v>
      </c>
      <c r="Z37">
        <v>8098746</v>
      </c>
      <c r="AA37">
        <v>8195298</v>
      </c>
      <c r="AB37">
        <v>8200662</v>
      </c>
      <c r="AC37">
        <v>8210943</v>
      </c>
      <c r="AD37">
        <v>8202003</v>
      </c>
      <c r="AE37">
        <v>8186358</v>
      </c>
      <c r="AF37">
        <v>15807708</v>
      </c>
      <c r="AG37">
        <v>15571245</v>
      </c>
      <c r="AH37">
        <v>15638742</v>
      </c>
      <c r="AI37">
        <v>15687018</v>
      </c>
      <c r="AJ37">
        <v>15584208</v>
      </c>
      <c r="AK37">
        <v>36876606</v>
      </c>
      <c r="AL37">
        <v>36548061</v>
      </c>
      <c r="AM37">
        <v>36750552</v>
      </c>
      <c r="AN37">
        <v>36462237</v>
      </c>
      <c r="AO37">
        <v>36797487</v>
      </c>
      <c r="AP37">
        <v>4015401</v>
      </c>
      <c r="AQ37">
        <v>4172745</v>
      </c>
      <c r="AR37">
        <v>4348863</v>
      </c>
      <c r="AS37">
        <v>3895605</v>
      </c>
      <c r="AT37">
        <v>3457992</v>
      </c>
      <c r="AU37">
        <v>3655566</v>
      </c>
      <c r="AV37">
        <v>5579901</v>
      </c>
      <c r="AW37">
        <v>4896885</v>
      </c>
      <c r="AX37">
        <v>3816486</v>
      </c>
      <c r="AY37">
        <v>4172298</v>
      </c>
      <c r="AZ37">
        <v>3465591</v>
      </c>
      <c r="BA37">
        <v>3705630</v>
      </c>
      <c r="BB37">
        <v>3677469</v>
      </c>
      <c r="BC37">
        <v>4683666</v>
      </c>
    </row>
    <row r="38" spans="1:55" x14ac:dyDescent="0.3">
      <c r="A38">
        <v>2045</v>
      </c>
      <c r="B38">
        <v>3242538</v>
      </c>
      <c r="C38">
        <v>3277404</v>
      </c>
      <c r="D38">
        <v>3175041</v>
      </c>
      <c r="E38">
        <v>3445476</v>
      </c>
      <c r="F38">
        <v>3203202</v>
      </c>
      <c r="G38">
        <v>5546376</v>
      </c>
      <c r="H38">
        <v>5508381</v>
      </c>
      <c r="I38">
        <v>5600016</v>
      </c>
      <c r="J38">
        <v>5347908</v>
      </c>
      <c r="K38">
        <v>5596887</v>
      </c>
      <c r="L38">
        <v>7527033</v>
      </c>
      <c r="M38">
        <v>7568157</v>
      </c>
      <c r="N38">
        <v>7483674</v>
      </c>
      <c r="O38">
        <v>7550724</v>
      </c>
      <c r="P38">
        <v>7498425</v>
      </c>
      <c r="Q38">
        <v>8227035</v>
      </c>
      <c r="R38">
        <v>7505130</v>
      </c>
      <c r="S38">
        <v>7800597</v>
      </c>
      <c r="T38">
        <v>7577991</v>
      </c>
      <c r="U38">
        <v>7761261</v>
      </c>
      <c r="V38">
        <v>8428185</v>
      </c>
      <c r="W38">
        <v>8436678</v>
      </c>
      <c r="X38">
        <v>8417010</v>
      </c>
      <c r="Y38">
        <v>8484507</v>
      </c>
      <c r="Z38">
        <v>8388849</v>
      </c>
      <c r="AA38">
        <v>8505963</v>
      </c>
      <c r="AB38">
        <v>8490765</v>
      </c>
      <c r="AC38">
        <v>8509539</v>
      </c>
      <c r="AD38">
        <v>8521608</v>
      </c>
      <c r="AE38">
        <v>8478249</v>
      </c>
      <c r="AF38">
        <v>16039701</v>
      </c>
      <c r="AG38">
        <v>15895320</v>
      </c>
      <c r="AH38">
        <v>15920352</v>
      </c>
      <c r="AI38">
        <v>15939573</v>
      </c>
      <c r="AJ38">
        <v>15892638</v>
      </c>
      <c r="AK38">
        <v>37210515</v>
      </c>
      <c r="AL38">
        <v>37005342</v>
      </c>
      <c r="AM38">
        <v>37261473</v>
      </c>
      <c r="AN38">
        <v>37016070</v>
      </c>
      <c r="AO38">
        <v>37329864</v>
      </c>
      <c r="AP38">
        <v>4407420</v>
      </c>
      <c r="AQ38">
        <v>4560294</v>
      </c>
      <c r="AR38">
        <v>4784688</v>
      </c>
      <c r="AS38">
        <v>4242030</v>
      </c>
      <c r="AT38">
        <v>3706524</v>
      </c>
      <c r="AU38">
        <v>3937623</v>
      </c>
      <c r="AV38">
        <v>6054615</v>
      </c>
      <c r="AW38">
        <v>5355507</v>
      </c>
      <c r="AX38">
        <v>4135644</v>
      </c>
      <c r="AY38">
        <v>4576833</v>
      </c>
      <c r="AZ38">
        <v>3733791</v>
      </c>
      <c r="BA38">
        <v>4021212</v>
      </c>
      <c r="BB38">
        <v>3966231</v>
      </c>
      <c r="BC38">
        <v>5105187</v>
      </c>
    </row>
    <row r="39" spans="1:55" x14ac:dyDescent="0.3">
      <c r="A39">
        <v>2046</v>
      </c>
      <c r="B39">
        <v>3415974</v>
      </c>
      <c r="C39">
        <v>3450840</v>
      </c>
      <c r="D39">
        <v>3347136</v>
      </c>
      <c r="E39">
        <v>3627405</v>
      </c>
      <c r="F39">
        <v>3369486</v>
      </c>
      <c r="G39">
        <v>5915598</v>
      </c>
      <c r="H39">
        <v>5846313</v>
      </c>
      <c r="I39">
        <v>5963874</v>
      </c>
      <c r="J39">
        <v>5697015</v>
      </c>
      <c r="K39">
        <v>5959404</v>
      </c>
      <c r="L39">
        <v>7866306</v>
      </c>
      <c r="M39">
        <v>7923522</v>
      </c>
      <c r="N39">
        <v>7814901</v>
      </c>
      <c r="O39">
        <v>7893573</v>
      </c>
      <c r="P39">
        <v>7837698</v>
      </c>
      <c r="Q39">
        <v>8630676</v>
      </c>
      <c r="R39">
        <v>7831440</v>
      </c>
      <c r="S39">
        <v>8193063</v>
      </c>
      <c r="T39">
        <v>7918158</v>
      </c>
      <c r="U39">
        <v>8152833</v>
      </c>
      <c r="V39">
        <v>8745108</v>
      </c>
      <c r="W39">
        <v>8778633</v>
      </c>
      <c r="X39">
        <v>8762988</v>
      </c>
      <c r="Y39">
        <v>8789361</v>
      </c>
      <c r="Z39">
        <v>8741532</v>
      </c>
      <c r="AA39">
        <v>8807688</v>
      </c>
      <c r="AB39">
        <v>8779080</v>
      </c>
      <c r="AC39">
        <v>8808582</v>
      </c>
      <c r="AD39">
        <v>8834508</v>
      </c>
      <c r="AE39">
        <v>8803665</v>
      </c>
      <c r="AF39">
        <v>16332933</v>
      </c>
      <c r="AG39">
        <v>16196151</v>
      </c>
      <c r="AH39">
        <v>16256943</v>
      </c>
      <c r="AI39">
        <v>16169778</v>
      </c>
      <c r="AJ39">
        <v>16173354</v>
      </c>
      <c r="AK39">
        <v>37604769</v>
      </c>
      <c r="AL39">
        <v>37280247</v>
      </c>
      <c r="AM39">
        <v>37654386</v>
      </c>
      <c r="AN39">
        <v>37253427</v>
      </c>
      <c r="AO39">
        <v>37628907</v>
      </c>
      <c r="AP39">
        <v>4838328</v>
      </c>
      <c r="AQ39">
        <v>4992990</v>
      </c>
      <c r="AR39">
        <v>5279964</v>
      </c>
      <c r="AS39">
        <v>4634049</v>
      </c>
      <c r="AT39">
        <v>3985899</v>
      </c>
      <c r="AU39">
        <v>4260357</v>
      </c>
      <c r="AV39">
        <v>6559725</v>
      </c>
      <c r="AW39">
        <v>5843631</v>
      </c>
      <c r="AX39">
        <v>4533027</v>
      </c>
      <c r="AY39">
        <v>5026068</v>
      </c>
      <c r="AZ39">
        <v>4034622</v>
      </c>
      <c r="BA39">
        <v>4373895</v>
      </c>
      <c r="BB39">
        <v>4322043</v>
      </c>
      <c r="BC39">
        <v>5551740</v>
      </c>
    </row>
    <row r="40" spans="1:55" x14ac:dyDescent="0.3">
      <c r="A40">
        <v>2047</v>
      </c>
      <c r="B40">
        <v>3633663</v>
      </c>
      <c r="C40">
        <v>3679257</v>
      </c>
      <c r="D40">
        <v>3549180</v>
      </c>
      <c r="E40">
        <v>3870573</v>
      </c>
      <c r="F40">
        <v>3582705</v>
      </c>
      <c r="G40">
        <v>6290184</v>
      </c>
      <c r="H40">
        <v>6197655</v>
      </c>
      <c r="I40">
        <v>6353211</v>
      </c>
      <c r="J40">
        <v>6058191</v>
      </c>
      <c r="K40">
        <v>6314769</v>
      </c>
      <c r="L40">
        <v>8246256</v>
      </c>
      <c r="M40">
        <v>8261007</v>
      </c>
      <c r="N40">
        <v>8163114</v>
      </c>
      <c r="O40">
        <v>8254302</v>
      </c>
      <c r="P40">
        <v>8202897</v>
      </c>
      <c r="Q40">
        <v>8999898</v>
      </c>
      <c r="R40">
        <v>8219436</v>
      </c>
      <c r="S40">
        <v>8659731</v>
      </c>
      <c r="T40">
        <v>8329845</v>
      </c>
      <c r="U40">
        <v>8615478</v>
      </c>
      <c r="V40">
        <v>9076782</v>
      </c>
      <c r="W40">
        <v>9118353</v>
      </c>
      <c r="X40">
        <v>9115224</v>
      </c>
      <c r="Y40">
        <v>9115671</v>
      </c>
      <c r="Z40">
        <v>9101814</v>
      </c>
      <c r="AA40">
        <v>9116565</v>
      </c>
      <c r="AB40">
        <v>9099132</v>
      </c>
      <c r="AC40">
        <v>9106284</v>
      </c>
      <c r="AD40">
        <v>9135786</v>
      </c>
      <c r="AE40">
        <v>9138468</v>
      </c>
      <c r="AF40">
        <v>16563585</v>
      </c>
      <c r="AG40">
        <v>16420992</v>
      </c>
      <c r="AH40">
        <v>16507263</v>
      </c>
      <c r="AI40">
        <v>16374057</v>
      </c>
      <c r="AJ40">
        <v>16380315</v>
      </c>
      <c r="AK40">
        <v>37966839</v>
      </c>
      <c r="AL40">
        <v>37497489</v>
      </c>
      <c r="AM40">
        <v>37850172</v>
      </c>
      <c r="AN40">
        <v>37445190</v>
      </c>
      <c r="AO40">
        <v>37862241</v>
      </c>
      <c r="AP40">
        <v>5350590</v>
      </c>
      <c r="AQ40">
        <v>5497206</v>
      </c>
      <c r="AR40">
        <v>5812788</v>
      </c>
      <c r="AS40">
        <v>5089542</v>
      </c>
      <c r="AT40">
        <v>4296117</v>
      </c>
      <c r="AU40">
        <v>4642989</v>
      </c>
      <c r="AV40">
        <v>7095231</v>
      </c>
      <c r="AW40">
        <v>6397017</v>
      </c>
      <c r="AX40">
        <v>4996566</v>
      </c>
      <c r="AY40">
        <v>5541012</v>
      </c>
      <c r="AZ40">
        <v>4395351</v>
      </c>
      <c r="BA40">
        <v>4780218</v>
      </c>
      <c r="BB40">
        <v>4736412</v>
      </c>
      <c r="BC40">
        <v>6049251</v>
      </c>
    </row>
    <row r="41" spans="1:55" x14ac:dyDescent="0.3">
      <c r="A41">
        <v>2048</v>
      </c>
      <c r="B41">
        <v>3855822</v>
      </c>
      <c r="C41">
        <v>3904098</v>
      </c>
      <c r="D41">
        <v>3772233</v>
      </c>
      <c r="E41">
        <v>4119552</v>
      </c>
      <c r="F41">
        <v>3806205</v>
      </c>
      <c r="G41">
        <v>6613812</v>
      </c>
      <c r="H41">
        <v>6532011</v>
      </c>
      <c r="I41">
        <v>6717963</v>
      </c>
      <c r="J41">
        <v>6380478</v>
      </c>
      <c r="K41">
        <v>6634374</v>
      </c>
      <c r="L41">
        <v>8570778</v>
      </c>
      <c r="M41">
        <v>8564520</v>
      </c>
      <c r="N41">
        <v>8491212</v>
      </c>
      <c r="O41">
        <v>8580165</v>
      </c>
      <c r="P41">
        <v>8566755</v>
      </c>
      <c r="Q41">
        <v>9314586</v>
      </c>
      <c r="R41">
        <v>8681187</v>
      </c>
      <c r="S41">
        <v>9099579</v>
      </c>
      <c r="T41">
        <v>8801430</v>
      </c>
      <c r="U41">
        <v>9058008</v>
      </c>
      <c r="V41">
        <v>9419184</v>
      </c>
      <c r="W41">
        <v>9436170</v>
      </c>
      <c r="X41">
        <v>9437958</v>
      </c>
      <c r="Y41">
        <v>9434382</v>
      </c>
      <c r="Z41">
        <v>9420078</v>
      </c>
      <c r="AA41">
        <v>9412479</v>
      </c>
      <c r="AB41">
        <v>9401751</v>
      </c>
      <c r="AC41">
        <v>9394599</v>
      </c>
      <c r="AD41">
        <v>9436617</v>
      </c>
      <c r="AE41">
        <v>9442428</v>
      </c>
      <c r="AF41">
        <v>16758030</v>
      </c>
      <c r="AG41">
        <v>16679805</v>
      </c>
      <c r="AH41">
        <v>16658796</v>
      </c>
      <c r="AI41">
        <v>16652091</v>
      </c>
      <c r="AJ41">
        <v>16605603</v>
      </c>
      <c r="AK41">
        <v>38135805</v>
      </c>
      <c r="AL41">
        <v>37686570</v>
      </c>
      <c r="AM41">
        <v>38047299</v>
      </c>
      <c r="AN41">
        <v>37722777</v>
      </c>
      <c r="AO41">
        <v>38138487</v>
      </c>
      <c r="AP41">
        <v>5874474</v>
      </c>
      <c r="AQ41">
        <v>6037182</v>
      </c>
      <c r="AR41">
        <v>6319686</v>
      </c>
      <c r="AS41">
        <v>5583924</v>
      </c>
      <c r="AT41">
        <v>4639860</v>
      </c>
      <c r="AU41">
        <v>5079708</v>
      </c>
      <c r="AV41">
        <v>7660239</v>
      </c>
      <c r="AW41">
        <v>6926265</v>
      </c>
      <c r="AX41">
        <v>5523132</v>
      </c>
      <c r="AY41">
        <v>6072048</v>
      </c>
      <c r="AZ41">
        <v>4795416</v>
      </c>
      <c r="BA41">
        <v>5266107</v>
      </c>
      <c r="BB41">
        <v>5197269</v>
      </c>
      <c r="BC41">
        <v>6573135</v>
      </c>
    </row>
    <row r="42" spans="1:55" x14ac:dyDescent="0.3">
      <c r="A42">
        <v>2049</v>
      </c>
      <c r="B42">
        <v>4067253</v>
      </c>
      <c r="C42">
        <v>4114188</v>
      </c>
      <c r="D42">
        <v>3991263</v>
      </c>
      <c r="E42">
        <v>4313550</v>
      </c>
      <c r="F42">
        <v>4017189</v>
      </c>
      <c r="G42">
        <v>6828819</v>
      </c>
      <c r="H42">
        <v>6760875</v>
      </c>
      <c r="I42">
        <v>6972306</v>
      </c>
      <c r="J42">
        <v>6606213</v>
      </c>
      <c r="K42">
        <v>6850722</v>
      </c>
      <c r="L42">
        <v>8794278</v>
      </c>
      <c r="M42">
        <v>8785785</v>
      </c>
      <c r="N42">
        <v>8728569</v>
      </c>
      <c r="O42">
        <v>8802771</v>
      </c>
      <c r="P42">
        <v>8818416</v>
      </c>
      <c r="Q42">
        <v>9618993</v>
      </c>
      <c r="R42">
        <v>9123270</v>
      </c>
      <c r="S42">
        <v>9435723</v>
      </c>
      <c r="T42">
        <v>9226080</v>
      </c>
      <c r="U42">
        <v>9429018</v>
      </c>
      <c r="V42">
        <v>9698112</v>
      </c>
      <c r="W42">
        <v>9696771</v>
      </c>
      <c r="X42">
        <v>9696771</v>
      </c>
      <c r="Y42">
        <v>9690066</v>
      </c>
      <c r="Z42">
        <v>9676656</v>
      </c>
      <c r="AA42">
        <v>9682467</v>
      </c>
      <c r="AB42">
        <v>9655647</v>
      </c>
      <c r="AC42">
        <v>9655200</v>
      </c>
      <c r="AD42">
        <v>9689619</v>
      </c>
      <c r="AE42">
        <v>9676656</v>
      </c>
      <c r="AF42">
        <v>17057073</v>
      </c>
      <c r="AG42">
        <v>16922079</v>
      </c>
      <c r="AH42">
        <v>16930572</v>
      </c>
      <c r="AI42">
        <v>16953369</v>
      </c>
      <c r="AJ42">
        <v>16844748</v>
      </c>
      <c r="AK42">
        <v>38410710</v>
      </c>
      <c r="AL42">
        <v>38027184</v>
      </c>
      <c r="AM42">
        <v>38331591</v>
      </c>
      <c r="AN42">
        <v>37996341</v>
      </c>
      <c r="AO42">
        <v>38351706</v>
      </c>
      <c r="AP42">
        <v>6377796</v>
      </c>
      <c r="AQ42">
        <v>6566877</v>
      </c>
      <c r="AR42">
        <v>6791718</v>
      </c>
      <c r="AS42">
        <v>6079200</v>
      </c>
      <c r="AT42">
        <v>5035902</v>
      </c>
      <c r="AU42">
        <v>5568726</v>
      </c>
      <c r="AV42">
        <v>8173842</v>
      </c>
      <c r="AW42">
        <v>7430481</v>
      </c>
      <c r="AX42">
        <v>6065343</v>
      </c>
      <c r="AY42">
        <v>6587886</v>
      </c>
      <c r="AZ42">
        <v>5234370</v>
      </c>
      <c r="BA42">
        <v>5767194</v>
      </c>
      <c r="BB42">
        <v>5693886</v>
      </c>
      <c r="BC42">
        <v>7105065</v>
      </c>
    </row>
    <row r="43" spans="1:55" x14ac:dyDescent="0.3">
      <c r="A43">
        <v>2050</v>
      </c>
      <c r="B43">
        <v>4281366</v>
      </c>
      <c r="C43">
        <v>4311315</v>
      </c>
      <c r="D43">
        <v>4216551</v>
      </c>
      <c r="E43">
        <v>4507101</v>
      </c>
      <c r="F43">
        <v>4230855</v>
      </c>
      <c r="G43">
        <v>7112664</v>
      </c>
      <c r="H43">
        <v>7046061</v>
      </c>
      <c r="I43">
        <v>7220391</v>
      </c>
      <c r="J43">
        <v>6881565</v>
      </c>
      <c r="K43">
        <v>7124733</v>
      </c>
      <c r="L43">
        <v>9048174</v>
      </c>
      <c r="M43">
        <v>9069630</v>
      </c>
      <c r="N43">
        <v>9012414</v>
      </c>
      <c r="O43">
        <v>9070524</v>
      </c>
      <c r="P43">
        <v>9065607</v>
      </c>
      <c r="Q43">
        <v>9890322</v>
      </c>
      <c r="R43">
        <v>9463884</v>
      </c>
      <c r="S43">
        <v>9699006</v>
      </c>
      <c r="T43">
        <v>9534510</v>
      </c>
      <c r="U43">
        <v>9681126</v>
      </c>
      <c r="V43">
        <v>9922953</v>
      </c>
      <c r="W43">
        <v>9897921</v>
      </c>
      <c r="X43">
        <v>9898368</v>
      </c>
      <c r="Y43">
        <v>9920271</v>
      </c>
      <c r="Z43">
        <v>9887193</v>
      </c>
      <c r="AA43">
        <v>9935022</v>
      </c>
      <c r="AB43">
        <v>9908649</v>
      </c>
      <c r="AC43">
        <v>9908649</v>
      </c>
      <c r="AD43">
        <v>9918483</v>
      </c>
      <c r="AE43">
        <v>9889875</v>
      </c>
      <c r="AF43">
        <v>17207712</v>
      </c>
      <c r="AG43">
        <v>17008350</v>
      </c>
      <c r="AH43">
        <v>17084340</v>
      </c>
      <c r="AI43">
        <v>17051709</v>
      </c>
      <c r="AJ43">
        <v>16945770</v>
      </c>
      <c r="AK43">
        <v>38513967</v>
      </c>
      <c r="AL43">
        <v>38158602</v>
      </c>
      <c r="AM43">
        <v>38496534</v>
      </c>
      <c r="AN43">
        <v>38131782</v>
      </c>
      <c r="AO43">
        <v>38463009</v>
      </c>
      <c r="AP43">
        <v>6914643</v>
      </c>
      <c r="AQ43">
        <v>7091208</v>
      </c>
      <c r="AR43">
        <v>7285653</v>
      </c>
      <c r="AS43">
        <v>6574476</v>
      </c>
      <c r="AT43">
        <v>5463681</v>
      </c>
      <c r="AU43">
        <v>6078306</v>
      </c>
      <c r="AV43">
        <v>8668224</v>
      </c>
      <c r="AW43">
        <v>7951236</v>
      </c>
      <c r="AX43">
        <v>6609342</v>
      </c>
      <c r="AY43">
        <v>7094784</v>
      </c>
      <c r="AZ43">
        <v>5715789</v>
      </c>
      <c r="BA43">
        <v>6262023</v>
      </c>
      <c r="BB43">
        <v>6211512</v>
      </c>
      <c r="BC43">
        <v>7620009</v>
      </c>
    </row>
    <row r="48" spans="1:55" x14ac:dyDescent="0.3">
      <c r="A48" t="s">
        <v>70</v>
      </c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</row>
    <row r="49" spans="1:55" x14ac:dyDescent="0.3">
      <c r="A49" t="s">
        <v>71</v>
      </c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</row>
    <row r="50" spans="1:55" x14ac:dyDescent="0.3">
      <c r="A50" t="s">
        <v>72</v>
      </c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</row>
    <row r="51" spans="1:55" x14ac:dyDescent="0.3">
      <c r="A51" t="s">
        <v>73</v>
      </c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</row>
    <row r="52" spans="1:55" x14ac:dyDescent="0.3">
      <c r="A52" t="s">
        <v>74</v>
      </c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</row>
    <row r="53" spans="1:55" x14ac:dyDescent="0.3">
      <c r="A53" t="s">
        <v>75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B53" t="s">
        <v>14</v>
      </c>
      <c r="AC53" t="s">
        <v>14</v>
      </c>
      <c r="AD53" t="s">
        <v>14</v>
      </c>
      <c r="AE53" t="s">
        <v>14</v>
      </c>
      <c r="AF53" t="s">
        <v>14</v>
      </c>
      <c r="AG53" t="s">
        <v>14</v>
      </c>
      <c r="AH53" t="s">
        <v>14</v>
      </c>
      <c r="AI53" t="s">
        <v>14</v>
      </c>
      <c r="AJ53" t="s">
        <v>14</v>
      </c>
      <c r="AK53" t="s">
        <v>14</v>
      </c>
      <c r="AL53" t="s">
        <v>14</v>
      </c>
      <c r="AM53" t="s">
        <v>14</v>
      </c>
      <c r="AN53" t="s">
        <v>14</v>
      </c>
      <c r="AO53" t="s">
        <v>14</v>
      </c>
      <c r="AP53" t="s">
        <v>14</v>
      </c>
      <c r="AQ53" t="s">
        <v>14</v>
      </c>
      <c r="AR53" t="s">
        <v>14</v>
      </c>
      <c r="AS53" t="s">
        <v>14</v>
      </c>
      <c r="AT53" t="s">
        <v>14</v>
      </c>
      <c r="AU53" t="s">
        <v>14</v>
      </c>
      <c r="AV53" t="s">
        <v>14</v>
      </c>
      <c r="AW53" t="s">
        <v>14</v>
      </c>
      <c r="AX53" t="s">
        <v>14</v>
      </c>
      <c r="AY53" t="s">
        <v>14</v>
      </c>
      <c r="AZ53" t="s">
        <v>14</v>
      </c>
      <c r="BA53" t="s">
        <v>14</v>
      </c>
      <c r="BB53" t="s">
        <v>14</v>
      </c>
      <c r="BC53" t="s">
        <v>14</v>
      </c>
    </row>
    <row r="54" spans="1:55" x14ac:dyDescent="0.3">
      <c r="A54" t="s">
        <v>76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</row>
    <row r="55" spans="1:55" x14ac:dyDescent="0.3">
      <c r="A55" t="s">
        <v>77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</row>
    <row r="56" spans="1:55" x14ac:dyDescent="0.3">
      <c r="A56" t="s">
        <v>78</v>
      </c>
      <c r="B56">
        <v>2</v>
      </c>
      <c r="C56">
        <v>2</v>
      </c>
      <c r="D56">
        <v>2</v>
      </c>
      <c r="E56">
        <v>2</v>
      </c>
      <c r="F56">
        <v>2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2</v>
      </c>
      <c r="R56">
        <v>2</v>
      </c>
      <c r="S56">
        <v>2</v>
      </c>
      <c r="T56">
        <v>2</v>
      </c>
      <c r="U56">
        <v>2</v>
      </c>
      <c r="V56">
        <v>4</v>
      </c>
      <c r="W56">
        <v>4</v>
      </c>
      <c r="X56">
        <v>4</v>
      </c>
      <c r="Y56">
        <v>4</v>
      </c>
      <c r="Z56">
        <v>4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</row>
    <row r="57" spans="1:55" x14ac:dyDescent="0.3">
      <c r="A57" t="s">
        <v>79</v>
      </c>
      <c r="B57">
        <v>4</v>
      </c>
      <c r="C57">
        <v>4</v>
      </c>
      <c r="D57">
        <v>4</v>
      </c>
      <c r="E57">
        <v>4</v>
      </c>
      <c r="F57">
        <v>4</v>
      </c>
      <c r="G57">
        <v>2</v>
      </c>
      <c r="H57">
        <v>2</v>
      </c>
      <c r="I57">
        <v>2</v>
      </c>
      <c r="J57">
        <v>2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</row>
    <row r="58" spans="1:55" x14ac:dyDescent="0.3">
      <c r="A58" t="s">
        <v>80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30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30</v>
      </c>
      <c r="AO58">
        <v>30</v>
      </c>
      <c r="AP58">
        <v>30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</row>
    <row r="59" spans="1:55" x14ac:dyDescent="0.3">
      <c r="A59" t="s">
        <v>81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</row>
    <row r="60" spans="1:55" x14ac:dyDescent="0.3">
      <c r="A60" t="s">
        <v>82</v>
      </c>
      <c r="B60" t="s">
        <v>15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15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15</v>
      </c>
      <c r="AG60" t="s">
        <v>15</v>
      </c>
      <c r="AH60" t="s">
        <v>15</v>
      </c>
      <c r="AI60" t="s">
        <v>15</v>
      </c>
      <c r="AJ60" t="s">
        <v>15</v>
      </c>
      <c r="AK60" t="s">
        <v>69</v>
      </c>
      <c r="AL60" t="s">
        <v>69</v>
      </c>
      <c r="AM60" t="s">
        <v>69</v>
      </c>
      <c r="AN60" t="s">
        <v>69</v>
      </c>
      <c r="AO60" t="s">
        <v>69</v>
      </c>
      <c r="AP60" t="s">
        <v>15</v>
      </c>
      <c r="AQ60" t="s">
        <v>15</v>
      </c>
      <c r="AR60" t="s">
        <v>15</v>
      </c>
      <c r="AS60" t="s">
        <v>15</v>
      </c>
      <c r="AT60" t="s">
        <v>15</v>
      </c>
      <c r="AU60" t="s">
        <v>15</v>
      </c>
      <c r="AV60" t="s">
        <v>15</v>
      </c>
      <c r="AW60" t="s">
        <v>15</v>
      </c>
      <c r="AX60" t="s">
        <v>15</v>
      </c>
      <c r="AY60" t="s">
        <v>15</v>
      </c>
      <c r="AZ60" t="s">
        <v>15</v>
      </c>
      <c r="BA60" t="s">
        <v>15</v>
      </c>
      <c r="BB60" t="s">
        <v>15</v>
      </c>
      <c r="BC60" t="s">
        <v>15</v>
      </c>
    </row>
    <row r="62" spans="1:55" x14ac:dyDescent="0.3">
      <c r="A62" t="s">
        <v>93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90</v>
      </c>
      <c r="AG62" t="s">
        <v>90</v>
      </c>
      <c r="AH62" t="s">
        <v>90</v>
      </c>
      <c r="AI62" t="s">
        <v>90</v>
      </c>
      <c r="AJ62" t="s">
        <v>90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</row>
    <row r="63" spans="1:55" x14ac:dyDescent="0.3">
      <c r="A63" t="s">
        <v>83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9</v>
      </c>
      <c r="AQ63">
        <v>9</v>
      </c>
      <c r="AR63">
        <v>9</v>
      </c>
      <c r="AS63">
        <v>9</v>
      </c>
      <c r="AT6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F8DC-0945-4282-94EB-3B9FF9C65E77}">
  <dimension ref="A1:BC63"/>
  <sheetViews>
    <sheetView topLeftCell="B28" workbookViewId="0">
      <selection activeCell="D67" sqref="D67"/>
    </sheetView>
  </sheetViews>
  <sheetFormatPr defaultRowHeight="14.4" x14ac:dyDescent="0.3"/>
  <sheetData>
    <row r="1" spans="1:55" x14ac:dyDescent="0.3">
      <c r="A1" t="s">
        <v>0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</row>
    <row r="2" spans="1:55" x14ac:dyDescent="0.3"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L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  <c r="W2">
        <v>2E-3</v>
      </c>
      <c r="X2">
        <v>2E-3</v>
      </c>
      <c r="Y2">
        <v>2E-3</v>
      </c>
      <c r="Z2">
        <v>2E-3</v>
      </c>
      <c r="AA2">
        <v>2E-3</v>
      </c>
      <c r="AB2">
        <v>2E-3</v>
      </c>
      <c r="AC2">
        <v>2E-3</v>
      </c>
      <c r="AD2">
        <v>2E-3</v>
      </c>
      <c r="AE2">
        <v>2E-3</v>
      </c>
      <c r="AF2">
        <v>2E-3</v>
      </c>
      <c r="AG2">
        <v>2E-3</v>
      </c>
      <c r="AH2">
        <v>2E-3</v>
      </c>
      <c r="AI2">
        <v>2E-3</v>
      </c>
      <c r="AJ2">
        <v>2E-3</v>
      </c>
      <c r="AK2">
        <v>2E-3</v>
      </c>
      <c r="AL2">
        <v>2E-3</v>
      </c>
      <c r="AM2">
        <v>2E-3</v>
      </c>
      <c r="AN2">
        <v>2E-3</v>
      </c>
      <c r="AO2">
        <v>2E-3</v>
      </c>
      <c r="AP2">
        <v>2E-3</v>
      </c>
      <c r="AQ2">
        <v>2E-3</v>
      </c>
      <c r="AR2">
        <v>2E-3</v>
      </c>
      <c r="AS2">
        <v>2E-3</v>
      </c>
      <c r="AT2">
        <v>2E-3</v>
      </c>
      <c r="AU2">
        <v>2E-3</v>
      </c>
      <c r="AV2">
        <v>2E-3</v>
      </c>
      <c r="AW2">
        <v>2E-3</v>
      </c>
      <c r="AX2">
        <v>2E-3</v>
      </c>
      <c r="AY2">
        <v>2E-3</v>
      </c>
      <c r="AZ2">
        <v>2E-3</v>
      </c>
      <c r="BA2">
        <v>2E-3</v>
      </c>
      <c r="BB2">
        <v>2E-3</v>
      </c>
      <c r="BC2">
        <v>2E-3</v>
      </c>
    </row>
    <row r="3" spans="1:55" x14ac:dyDescent="0.3">
      <c r="B3">
        <v>3.0000000000000001E-3</v>
      </c>
      <c r="C3">
        <v>3.0000000000000001E-3</v>
      </c>
      <c r="D3">
        <v>3.0000000000000001E-3</v>
      </c>
      <c r="E3">
        <v>3.0000000000000001E-3</v>
      </c>
      <c r="F3">
        <v>3.0000000000000001E-3</v>
      </c>
      <c r="G3">
        <v>3.0000000000000001E-3</v>
      </c>
      <c r="H3">
        <v>3.0000000000000001E-3</v>
      </c>
      <c r="I3">
        <v>3.0000000000000001E-3</v>
      </c>
      <c r="J3">
        <v>3.0000000000000001E-3</v>
      </c>
      <c r="K3">
        <v>3.0000000000000001E-3</v>
      </c>
      <c r="L3">
        <v>3.0000000000000001E-3</v>
      </c>
      <c r="M3">
        <v>3.0000000000000001E-3</v>
      </c>
      <c r="N3">
        <v>3.0000000000000001E-3</v>
      </c>
      <c r="O3">
        <v>3.0000000000000001E-3</v>
      </c>
      <c r="P3">
        <v>3.0000000000000001E-3</v>
      </c>
      <c r="Q3">
        <v>3.0000000000000001E-3</v>
      </c>
      <c r="R3">
        <v>3.0000000000000001E-3</v>
      </c>
      <c r="S3">
        <v>3.0000000000000001E-3</v>
      </c>
      <c r="T3">
        <v>3.0000000000000001E-3</v>
      </c>
      <c r="U3">
        <v>3.0000000000000001E-3</v>
      </c>
      <c r="V3">
        <v>3.0000000000000001E-3</v>
      </c>
      <c r="W3">
        <v>3.0000000000000001E-3</v>
      </c>
      <c r="X3">
        <v>3.0000000000000001E-3</v>
      </c>
      <c r="Y3">
        <v>3.0000000000000001E-3</v>
      </c>
      <c r="Z3">
        <v>3.0000000000000001E-3</v>
      </c>
      <c r="AA3">
        <v>3.0000000000000001E-3</v>
      </c>
      <c r="AB3">
        <v>3.0000000000000001E-3</v>
      </c>
      <c r="AC3">
        <v>3.0000000000000001E-3</v>
      </c>
      <c r="AD3">
        <v>3.0000000000000001E-3</v>
      </c>
      <c r="AE3">
        <v>3.0000000000000001E-3</v>
      </c>
      <c r="AF3">
        <v>3.0000000000000001E-3</v>
      </c>
      <c r="AG3">
        <v>3.0000000000000001E-3</v>
      </c>
      <c r="AH3">
        <v>3.0000000000000001E-3</v>
      </c>
      <c r="AI3">
        <v>3.0000000000000001E-3</v>
      </c>
      <c r="AJ3">
        <v>3.0000000000000001E-3</v>
      </c>
      <c r="AK3">
        <v>3.0000000000000001E-3</v>
      </c>
      <c r="AL3">
        <v>3.0000000000000001E-3</v>
      </c>
      <c r="AM3">
        <v>3.0000000000000001E-3</v>
      </c>
      <c r="AN3">
        <v>3.0000000000000001E-3</v>
      </c>
      <c r="AO3">
        <v>3.0000000000000001E-3</v>
      </c>
      <c r="AP3">
        <v>3.0000000000000001E-3</v>
      </c>
      <c r="AQ3">
        <v>3.0000000000000001E-3</v>
      </c>
      <c r="AR3">
        <v>3.0000000000000001E-3</v>
      </c>
      <c r="AS3">
        <v>3.0000000000000001E-3</v>
      </c>
      <c r="AT3">
        <v>3.0000000000000001E-3</v>
      </c>
      <c r="AU3">
        <v>3.0000000000000001E-3</v>
      </c>
      <c r="AV3">
        <v>3.0000000000000001E-3</v>
      </c>
      <c r="AW3">
        <v>3.0000000000000001E-3</v>
      </c>
      <c r="AX3">
        <v>3.0000000000000001E-3</v>
      </c>
      <c r="AY3">
        <v>3.0000000000000001E-3</v>
      </c>
      <c r="AZ3">
        <v>3.0000000000000001E-3</v>
      </c>
      <c r="BA3">
        <v>3.0000000000000001E-3</v>
      </c>
      <c r="BB3">
        <v>3.0000000000000001E-3</v>
      </c>
      <c r="BC3">
        <v>3.0000000000000001E-3</v>
      </c>
    </row>
    <row r="4" spans="1:55" x14ac:dyDescent="0.3"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</row>
    <row r="5" spans="1:55" x14ac:dyDescent="0.3">
      <c r="B5">
        <v>6.0999999999999999E-2</v>
      </c>
      <c r="C5">
        <v>6.0999999999999999E-2</v>
      </c>
      <c r="D5">
        <v>6.0999999999999999E-2</v>
      </c>
      <c r="E5">
        <v>6.0999999999999999E-2</v>
      </c>
      <c r="F5">
        <v>6.0999999999999999E-2</v>
      </c>
      <c r="G5">
        <v>6.0999999999999999E-2</v>
      </c>
      <c r="H5">
        <v>6.0999999999999999E-2</v>
      </c>
      <c r="I5">
        <v>6.0999999999999999E-2</v>
      </c>
      <c r="J5">
        <v>6.0999999999999999E-2</v>
      </c>
      <c r="K5">
        <v>6.0999999999999999E-2</v>
      </c>
      <c r="L5">
        <v>6.0999999999999999E-2</v>
      </c>
      <c r="M5">
        <v>6.0999999999999999E-2</v>
      </c>
      <c r="N5">
        <v>6.0999999999999999E-2</v>
      </c>
      <c r="O5">
        <v>6.0999999999999999E-2</v>
      </c>
      <c r="P5">
        <v>6.0999999999999999E-2</v>
      </c>
      <c r="Q5">
        <v>6.0999999999999999E-2</v>
      </c>
      <c r="R5">
        <v>6.0999999999999999E-2</v>
      </c>
      <c r="S5">
        <v>6.0999999999999999E-2</v>
      </c>
      <c r="T5">
        <v>6.0999999999999999E-2</v>
      </c>
      <c r="U5">
        <v>6.0999999999999999E-2</v>
      </c>
      <c r="V5">
        <v>6.0999999999999999E-2</v>
      </c>
      <c r="W5">
        <v>6.0999999999999999E-2</v>
      </c>
      <c r="X5">
        <v>6.0999999999999999E-2</v>
      </c>
      <c r="Y5">
        <v>6.0999999999999999E-2</v>
      </c>
      <c r="Z5">
        <v>6.0999999999999999E-2</v>
      </c>
      <c r="AA5">
        <v>6.0999999999999999E-2</v>
      </c>
      <c r="AB5">
        <v>6.0999999999999999E-2</v>
      </c>
      <c r="AC5">
        <v>6.0999999999999999E-2</v>
      </c>
      <c r="AD5">
        <v>6.0999999999999999E-2</v>
      </c>
      <c r="AE5">
        <v>6.0999999999999999E-2</v>
      </c>
      <c r="AF5">
        <v>6.0999999999999999E-2</v>
      </c>
      <c r="AG5">
        <v>6.0999999999999999E-2</v>
      </c>
      <c r="AH5">
        <v>6.0999999999999999E-2</v>
      </c>
      <c r="AI5">
        <v>6.0999999999999999E-2</v>
      </c>
      <c r="AJ5">
        <v>6.0999999999999999E-2</v>
      </c>
      <c r="AK5">
        <v>6.0999999999999999E-2</v>
      </c>
      <c r="AL5">
        <v>6.0999999999999999E-2</v>
      </c>
      <c r="AM5">
        <v>6.0999999999999999E-2</v>
      </c>
      <c r="AN5">
        <v>6.0999999999999999E-2</v>
      </c>
      <c r="AO5">
        <v>6.0999999999999999E-2</v>
      </c>
      <c r="AP5">
        <v>6.0999999999999999E-2</v>
      </c>
      <c r="AQ5">
        <v>6.0999999999999999E-2</v>
      </c>
      <c r="AR5">
        <v>6.0999999999999999E-2</v>
      </c>
      <c r="AS5">
        <v>6.0999999999999999E-2</v>
      </c>
      <c r="AT5">
        <v>6.0999999999999999E-2</v>
      </c>
      <c r="AU5">
        <v>6.0999999999999999E-2</v>
      </c>
      <c r="AV5">
        <v>6.0999999999999999E-2</v>
      </c>
      <c r="AW5">
        <v>6.0999999999999999E-2</v>
      </c>
      <c r="AX5">
        <v>6.0999999999999999E-2</v>
      </c>
      <c r="AY5">
        <v>6.0999999999999999E-2</v>
      </c>
      <c r="AZ5">
        <v>6.0999999999999999E-2</v>
      </c>
      <c r="BA5">
        <v>6.0999999999999999E-2</v>
      </c>
      <c r="BB5">
        <v>6.0999999999999999E-2</v>
      </c>
      <c r="BC5">
        <v>6.0999999999999999E-2</v>
      </c>
    </row>
    <row r="6" spans="1:55" x14ac:dyDescent="0.3">
      <c r="B6">
        <v>8.4000000000000005E-2</v>
      </c>
      <c r="C6">
        <v>8.4000000000000005E-2</v>
      </c>
      <c r="D6">
        <v>8.4000000000000005E-2</v>
      </c>
      <c r="E6">
        <v>8.4000000000000005E-2</v>
      </c>
      <c r="F6">
        <v>8.4000000000000005E-2</v>
      </c>
      <c r="G6">
        <v>8.4000000000000005E-2</v>
      </c>
      <c r="H6">
        <v>8.4000000000000005E-2</v>
      </c>
      <c r="I6">
        <v>8.4000000000000005E-2</v>
      </c>
      <c r="J6">
        <v>8.4000000000000005E-2</v>
      </c>
      <c r="K6">
        <v>8.4000000000000005E-2</v>
      </c>
      <c r="L6">
        <v>8.4000000000000005E-2</v>
      </c>
      <c r="M6">
        <v>8.4000000000000005E-2</v>
      </c>
      <c r="N6">
        <v>8.4000000000000005E-2</v>
      </c>
      <c r="O6">
        <v>8.4000000000000005E-2</v>
      </c>
      <c r="P6">
        <v>8.4000000000000005E-2</v>
      </c>
      <c r="Q6">
        <v>8.4000000000000005E-2</v>
      </c>
      <c r="R6">
        <v>8.4000000000000005E-2</v>
      </c>
      <c r="S6">
        <v>8.4000000000000005E-2</v>
      </c>
      <c r="T6">
        <v>8.4000000000000005E-2</v>
      </c>
      <c r="U6">
        <v>8.4000000000000005E-2</v>
      </c>
      <c r="V6">
        <v>8.4000000000000005E-2</v>
      </c>
      <c r="W6">
        <v>8.4000000000000005E-2</v>
      </c>
      <c r="X6">
        <v>8.4000000000000005E-2</v>
      </c>
      <c r="Y6">
        <v>8.4000000000000005E-2</v>
      </c>
      <c r="Z6">
        <v>8.4000000000000005E-2</v>
      </c>
      <c r="AA6">
        <v>8.4000000000000005E-2</v>
      </c>
      <c r="AB6">
        <v>8.4000000000000005E-2</v>
      </c>
      <c r="AC6">
        <v>8.4000000000000005E-2</v>
      </c>
      <c r="AD6">
        <v>8.4000000000000005E-2</v>
      </c>
      <c r="AE6">
        <v>8.4000000000000005E-2</v>
      </c>
      <c r="AF6">
        <v>8.4000000000000005E-2</v>
      </c>
      <c r="AG6">
        <v>8.4000000000000005E-2</v>
      </c>
      <c r="AH6">
        <v>8.4000000000000005E-2</v>
      </c>
      <c r="AI6">
        <v>8.4000000000000005E-2</v>
      </c>
      <c r="AJ6">
        <v>8.4000000000000005E-2</v>
      </c>
      <c r="AK6">
        <v>8.4000000000000005E-2</v>
      </c>
      <c r="AL6">
        <v>8.4000000000000005E-2</v>
      </c>
      <c r="AM6">
        <v>8.4000000000000005E-2</v>
      </c>
      <c r="AN6">
        <v>8.4000000000000005E-2</v>
      </c>
      <c r="AO6">
        <v>8.4000000000000005E-2</v>
      </c>
      <c r="AP6">
        <v>8.4000000000000005E-2</v>
      </c>
      <c r="AQ6">
        <v>8.4000000000000005E-2</v>
      </c>
      <c r="AR6">
        <v>8.4000000000000005E-2</v>
      </c>
      <c r="AS6">
        <v>8.4000000000000005E-2</v>
      </c>
      <c r="AT6">
        <v>8.4000000000000005E-2</v>
      </c>
      <c r="AU6">
        <v>8.4000000000000005E-2</v>
      </c>
      <c r="AV6">
        <v>8.4000000000000005E-2</v>
      </c>
      <c r="AW6">
        <v>8.4000000000000005E-2</v>
      </c>
      <c r="AX6">
        <v>8.4000000000000005E-2</v>
      </c>
      <c r="AY6">
        <v>8.4000000000000005E-2</v>
      </c>
      <c r="AZ6">
        <v>8.4000000000000005E-2</v>
      </c>
      <c r="BA6">
        <v>8.4000000000000005E-2</v>
      </c>
      <c r="BB6">
        <v>8.4000000000000005E-2</v>
      </c>
      <c r="BC6">
        <v>8.4000000000000005E-2</v>
      </c>
    </row>
    <row r="7" spans="1:55" x14ac:dyDescent="0.3">
      <c r="B7">
        <v>0.11700000000000001</v>
      </c>
      <c r="C7">
        <v>0.11700000000000001</v>
      </c>
      <c r="D7">
        <v>0.11700000000000001</v>
      </c>
      <c r="E7">
        <v>0.11700000000000001</v>
      </c>
      <c r="F7">
        <v>0.11700000000000001</v>
      </c>
      <c r="G7">
        <v>0.11700000000000001</v>
      </c>
      <c r="H7">
        <v>0.11700000000000001</v>
      </c>
      <c r="I7">
        <v>0.11700000000000001</v>
      </c>
      <c r="J7">
        <v>0.11700000000000001</v>
      </c>
      <c r="K7">
        <v>0.11700000000000001</v>
      </c>
      <c r="L7">
        <v>0.11700000000000001</v>
      </c>
      <c r="M7">
        <v>0.11700000000000001</v>
      </c>
      <c r="N7">
        <v>0.11700000000000001</v>
      </c>
      <c r="O7">
        <v>0.11700000000000001</v>
      </c>
      <c r="P7">
        <v>0.11700000000000001</v>
      </c>
      <c r="Q7">
        <v>0.11700000000000001</v>
      </c>
      <c r="R7">
        <v>0.11700000000000001</v>
      </c>
      <c r="S7">
        <v>0.11700000000000001</v>
      </c>
      <c r="T7">
        <v>0.11700000000000001</v>
      </c>
      <c r="U7">
        <v>0.11700000000000001</v>
      </c>
      <c r="V7">
        <v>0.11700000000000001</v>
      </c>
      <c r="W7">
        <v>0.11700000000000001</v>
      </c>
      <c r="X7">
        <v>0.11700000000000001</v>
      </c>
      <c r="Y7">
        <v>0.11700000000000001</v>
      </c>
      <c r="Z7">
        <v>0.11700000000000001</v>
      </c>
      <c r="AA7">
        <v>0.11700000000000001</v>
      </c>
      <c r="AB7">
        <v>0.11700000000000001</v>
      </c>
      <c r="AC7">
        <v>0.11700000000000001</v>
      </c>
      <c r="AD7">
        <v>0.11700000000000001</v>
      </c>
      <c r="AE7">
        <v>0.11700000000000001</v>
      </c>
      <c r="AF7">
        <v>0.11700000000000001</v>
      </c>
      <c r="AG7">
        <v>0.11700000000000001</v>
      </c>
      <c r="AH7">
        <v>0.11700000000000001</v>
      </c>
      <c r="AI7">
        <v>0.11700000000000001</v>
      </c>
      <c r="AJ7">
        <v>0.11700000000000001</v>
      </c>
      <c r="AK7">
        <v>0.11700000000000001</v>
      </c>
      <c r="AL7">
        <v>0.11700000000000001</v>
      </c>
      <c r="AM7">
        <v>0.11700000000000001</v>
      </c>
      <c r="AN7">
        <v>0.11700000000000001</v>
      </c>
      <c r="AO7">
        <v>0.11700000000000001</v>
      </c>
      <c r="AP7">
        <v>0.11700000000000001</v>
      </c>
      <c r="AQ7">
        <v>0.11700000000000001</v>
      </c>
      <c r="AR7">
        <v>0.11700000000000001</v>
      </c>
      <c r="AS7">
        <v>0.11700000000000001</v>
      </c>
      <c r="AT7">
        <v>0.11700000000000001</v>
      </c>
      <c r="AU7">
        <v>0.11700000000000001</v>
      </c>
      <c r="AV7">
        <v>0.11700000000000001</v>
      </c>
      <c r="AW7">
        <v>0.11700000000000001</v>
      </c>
      <c r="AX7">
        <v>0.11700000000000001</v>
      </c>
      <c r="AY7">
        <v>0.11700000000000001</v>
      </c>
      <c r="AZ7">
        <v>0.11700000000000001</v>
      </c>
      <c r="BA7">
        <v>0.11700000000000001</v>
      </c>
      <c r="BB7">
        <v>0.11700000000000001</v>
      </c>
      <c r="BC7">
        <v>0.11700000000000001</v>
      </c>
    </row>
    <row r="8" spans="1:55" x14ac:dyDescent="0.3">
      <c r="B8">
        <v>0.17799999999999999</v>
      </c>
      <c r="C8">
        <v>0.17799999999999999</v>
      </c>
      <c r="D8">
        <v>0.17799999999999999</v>
      </c>
      <c r="E8">
        <v>0.17799999999999999</v>
      </c>
      <c r="F8">
        <v>0.17799999999999999</v>
      </c>
      <c r="G8">
        <v>0.17799999999999999</v>
      </c>
      <c r="H8">
        <v>0.17799999999999999</v>
      </c>
      <c r="I8">
        <v>0.17799999999999999</v>
      </c>
      <c r="J8">
        <v>0.17799999999999999</v>
      </c>
      <c r="K8">
        <v>0.17799999999999999</v>
      </c>
      <c r="L8">
        <v>0.17799999999999999</v>
      </c>
      <c r="M8">
        <v>0.17799999999999999</v>
      </c>
      <c r="N8">
        <v>0.17799999999999999</v>
      </c>
      <c r="O8">
        <v>0.17799999999999999</v>
      </c>
      <c r="P8">
        <v>0.17799999999999999</v>
      </c>
      <c r="Q8">
        <v>0.17799999999999999</v>
      </c>
      <c r="R8">
        <v>0.17799999999999999</v>
      </c>
      <c r="S8">
        <v>0.17799999999999999</v>
      </c>
      <c r="T8">
        <v>0.17799999999999999</v>
      </c>
      <c r="U8">
        <v>0.17799999999999999</v>
      </c>
      <c r="V8">
        <v>0.17799999999999999</v>
      </c>
      <c r="W8">
        <v>0.17799999999999999</v>
      </c>
      <c r="X8">
        <v>0.17799999999999999</v>
      </c>
      <c r="Y8">
        <v>0.17799999999999999</v>
      </c>
      <c r="Z8">
        <v>0.17799999999999999</v>
      </c>
      <c r="AA8">
        <v>0.17799999999999999</v>
      </c>
      <c r="AB8">
        <v>0.17799999999999999</v>
      </c>
      <c r="AC8">
        <v>0.17799999999999999</v>
      </c>
      <c r="AD8">
        <v>0.17799999999999999</v>
      </c>
      <c r="AE8">
        <v>0.17799999999999999</v>
      </c>
      <c r="AF8">
        <v>0.17799999999999999</v>
      </c>
      <c r="AG8">
        <v>0.17799999999999999</v>
      </c>
      <c r="AH8">
        <v>0.17799999999999999</v>
      </c>
      <c r="AI8">
        <v>0.17799999999999999</v>
      </c>
      <c r="AJ8">
        <v>0.17799999999999999</v>
      </c>
      <c r="AK8">
        <v>0.17799999999999999</v>
      </c>
      <c r="AL8">
        <v>0.17799999999999999</v>
      </c>
      <c r="AM8">
        <v>0.17799999999999999</v>
      </c>
      <c r="AN8">
        <v>0.17799999999999999</v>
      </c>
      <c r="AO8">
        <v>0.17799999999999999</v>
      </c>
      <c r="AP8">
        <v>0.17799999999999999</v>
      </c>
      <c r="AQ8">
        <v>0.17799999999999999</v>
      </c>
      <c r="AR8">
        <v>0.17799999999999999</v>
      </c>
      <c r="AS8">
        <v>0.17799999999999999</v>
      </c>
      <c r="AT8">
        <v>0.17799999999999999</v>
      </c>
      <c r="AU8">
        <v>0.17799999999999999</v>
      </c>
      <c r="AV8">
        <v>0.17799999999999999</v>
      </c>
      <c r="AW8">
        <v>0.17799999999999999</v>
      </c>
      <c r="AX8">
        <v>0.17799999999999999</v>
      </c>
      <c r="AY8">
        <v>0.17799999999999999</v>
      </c>
      <c r="AZ8">
        <v>0.17799999999999999</v>
      </c>
      <c r="BA8">
        <v>0.17799999999999999</v>
      </c>
      <c r="BB8">
        <v>0.17799999999999999</v>
      </c>
      <c r="BC8">
        <v>0.17799999999999999</v>
      </c>
    </row>
    <row r="9" spans="1:55" x14ac:dyDescent="0.3">
      <c r="B9">
        <v>0.25900000000000001</v>
      </c>
      <c r="C9">
        <v>0.25900000000000001</v>
      </c>
      <c r="D9">
        <v>0.25900000000000001</v>
      </c>
      <c r="E9">
        <v>0.25900000000000001</v>
      </c>
      <c r="F9">
        <v>0.25900000000000001</v>
      </c>
      <c r="G9">
        <v>0.25900000000000001</v>
      </c>
      <c r="H9">
        <v>0.25900000000000001</v>
      </c>
      <c r="I9">
        <v>0.25900000000000001</v>
      </c>
      <c r="J9">
        <v>0.25900000000000001</v>
      </c>
      <c r="K9">
        <v>0.25900000000000001</v>
      </c>
      <c r="L9">
        <v>0.25900000000000001</v>
      </c>
      <c r="M9">
        <v>0.25900000000000001</v>
      </c>
      <c r="N9">
        <v>0.25900000000000001</v>
      </c>
      <c r="O9">
        <v>0.25900000000000001</v>
      </c>
      <c r="P9">
        <v>0.25900000000000001</v>
      </c>
      <c r="Q9">
        <v>0.25900000000000001</v>
      </c>
      <c r="R9">
        <v>0.25900000000000001</v>
      </c>
      <c r="S9">
        <v>0.25900000000000001</v>
      </c>
      <c r="T9">
        <v>0.25900000000000001</v>
      </c>
      <c r="U9">
        <v>0.25900000000000001</v>
      </c>
      <c r="V9">
        <v>0.25900000000000001</v>
      </c>
      <c r="W9">
        <v>0.25900000000000001</v>
      </c>
      <c r="X9">
        <v>0.25900000000000001</v>
      </c>
      <c r="Y9">
        <v>0.25900000000000001</v>
      </c>
      <c r="Z9">
        <v>0.25900000000000001</v>
      </c>
      <c r="AA9">
        <v>0.25900000000000001</v>
      </c>
      <c r="AB9">
        <v>0.25900000000000001</v>
      </c>
      <c r="AC9">
        <v>0.25900000000000001</v>
      </c>
      <c r="AD9">
        <v>0.25900000000000001</v>
      </c>
      <c r="AE9">
        <v>0.25900000000000001</v>
      </c>
      <c r="AF9">
        <v>0.25900000000000001</v>
      </c>
      <c r="AG9">
        <v>0.25900000000000001</v>
      </c>
      <c r="AH9">
        <v>0.25900000000000001</v>
      </c>
      <c r="AI9">
        <v>0.25900000000000001</v>
      </c>
      <c r="AJ9">
        <v>0.25900000000000001</v>
      </c>
      <c r="AK9">
        <v>0.25900000000000001</v>
      </c>
      <c r="AL9">
        <v>0.25900000000000001</v>
      </c>
      <c r="AM9">
        <v>0.25900000000000001</v>
      </c>
      <c r="AN9">
        <v>0.25900000000000001</v>
      </c>
      <c r="AO9">
        <v>0.25900000000000001</v>
      </c>
      <c r="AP9">
        <v>0.25900000000000001</v>
      </c>
      <c r="AQ9">
        <v>0.25900000000000001</v>
      </c>
      <c r="AR9">
        <v>0.25900000000000001</v>
      </c>
      <c r="AS9">
        <v>0.25900000000000001</v>
      </c>
      <c r="AT9">
        <v>0.25900000000000001</v>
      </c>
      <c r="AU9">
        <v>0.25900000000000001</v>
      </c>
      <c r="AV9">
        <v>0.25900000000000001</v>
      </c>
      <c r="AW9">
        <v>0.25900000000000001</v>
      </c>
      <c r="AX9">
        <v>0.25900000000000001</v>
      </c>
      <c r="AY9">
        <v>0.25900000000000001</v>
      </c>
      <c r="AZ9">
        <v>0.25900000000000001</v>
      </c>
      <c r="BA9">
        <v>0.25900000000000001</v>
      </c>
      <c r="BB9">
        <v>0.25900000000000001</v>
      </c>
      <c r="BC9">
        <v>0.25900000000000001</v>
      </c>
    </row>
    <row r="10" spans="1:55" x14ac:dyDescent="0.3">
      <c r="B10">
        <v>0.38100000000000001</v>
      </c>
      <c r="C10">
        <v>0.38100000000000001</v>
      </c>
      <c r="D10">
        <v>0.38100000000000001</v>
      </c>
      <c r="E10">
        <v>0.38100000000000001</v>
      </c>
      <c r="F10">
        <v>0.38100000000000001</v>
      </c>
      <c r="G10">
        <v>0.38100000000000001</v>
      </c>
      <c r="H10">
        <v>0.38100000000000001</v>
      </c>
      <c r="I10">
        <v>0.38100000000000001</v>
      </c>
      <c r="J10">
        <v>0.38100000000000001</v>
      </c>
      <c r="K10">
        <v>0.38100000000000001</v>
      </c>
      <c r="L10">
        <v>0.38100000000000001</v>
      </c>
      <c r="M10">
        <v>0.38100000000000001</v>
      </c>
      <c r="N10">
        <v>0.38100000000000001</v>
      </c>
      <c r="O10">
        <v>0.38100000000000001</v>
      </c>
      <c r="P10">
        <v>0.38100000000000001</v>
      </c>
      <c r="Q10">
        <v>0.38100000000000001</v>
      </c>
      <c r="R10">
        <v>0.38100000000000001</v>
      </c>
      <c r="S10">
        <v>0.38100000000000001</v>
      </c>
      <c r="T10">
        <v>0.38100000000000001</v>
      </c>
      <c r="U10">
        <v>0.38100000000000001</v>
      </c>
      <c r="V10">
        <v>0.38100000000000001</v>
      </c>
      <c r="W10">
        <v>0.38100000000000001</v>
      </c>
      <c r="X10">
        <v>0.38100000000000001</v>
      </c>
      <c r="Y10">
        <v>0.38100000000000001</v>
      </c>
      <c r="Z10">
        <v>0.38100000000000001</v>
      </c>
      <c r="AA10">
        <v>0.38100000000000001</v>
      </c>
      <c r="AB10">
        <v>0.38100000000000001</v>
      </c>
      <c r="AC10">
        <v>0.38100000000000001</v>
      </c>
      <c r="AD10">
        <v>0.38100000000000001</v>
      </c>
      <c r="AE10">
        <v>0.38100000000000001</v>
      </c>
      <c r="AF10">
        <v>0.38100000000000001</v>
      </c>
      <c r="AG10">
        <v>0.38100000000000001</v>
      </c>
      <c r="AH10">
        <v>0.38100000000000001</v>
      </c>
      <c r="AI10">
        <v>0.38100000000000001</v>
      </c>
      <c r="AJ10">
        <v>0.38100000000000001</v>
      </c>
      <c r="AK10">
        <v>0.38100000000000001</v>
      </c>
      <c r="AL10">
        <v>0.38100000000000001</v>
      </c>
      <c r="AM10">
        <v>0.38100000000000001</v>
      </c>
      <c r="AN10">
        <v>0.38100000000000001</v>
      </c>
      <c r="AO10">
        <v>0.38100000000000001</v>
      </c>
      <c r="AP10">
        <v>0.38100000000000001</v>
      </c>
      <c r="AQ10">
        <v>0.38100000000000001</v>
      </c>
      <c r="AR10">
        <v>0.38100000000000001</v>
      </c>
      <c r="AS10">
        <v>0.38100000000000001</v>
      </c>
      <c r="AT10">
        <v>0.38100000000000001</v>
      </c>
      <c r="AU10">
        <v>0.38100000000000001</v>
      </c>
      <c r="AV10">
        <v>0.38100000000000001</v>
      </c>
      <c r="AW10">
        <v>0.38100000000000001</v>
      </c>
      <c r="AX10">
        <v>0.38100000000000001</v>
      </c>
      <c r="AY10">
        <v>0.38100000000000001</v>
      </c>
      <c r="AZ10">
        <v>0.38100000000000001</v>
      </c>
      <c r="BA10">
        <v>0.38100000000000001</v>
      </c>
      <c r="BB10">
        <v>0.38100000000000001</v>
      </c>
      <c r="BC10">
        <v>0.38100000000000001</v>
      </c>
    </row>
    <row r="11" spans="1:55" x14ac:dyDescent="0.3">
      <c r="B11">
        <v>0.58899999999999997</v>
      </c>
      <c r="C11">
        <v>0.58899999999999997</v>
      </c>
      <c r="D11">
        <v>0.58899999999999997</v>
      </c>
      <c r="E11">
        <v>0.58899999999999997</v>
      </c>
      <c r="F11">
        <v>0.58899999999999997</v>
      </c>
      <c r="G11">
        <v>0.58899999999999997</v>
      </c>
      <c r="H11">
        <v>0.58899999999999997</v>
      </c>
      <c r="I11">
        <v>0.58899999999999997</v>
      </c>
      <c r="J11">
        <v>0.58899999999999997</v>
      </c>
      <c r="K11">
        <v>0.58899999999999997</v>
      </c>
      <c r="L11">
        <v>0.58899999999999997</v>
      </c>
      <c r="M11">
        <v>0.58899999999999997</v>
      </c>
      <c r="N11">
        <v>0.58899999999999997</v>
      </c>
      <c r="O11">
        <v>0.58899999999999997</v>
      </c>
      <c r="P11">
        <v>0.58899999999999997</v>
      </c>
      <c r="Q11">
        <v>0.58899999999999997</v>
      </c>
      <c r="R11">
        <v>0.58899999999999997</v>
      </c>
      <c r="S11">
        <v>0.58899999999999997</v>
      </c>
      <c r="T11">
        <v>0.58899999999999997</v>
      </c>
      <c r="U11">
        <v>0.58899999999999997</v>
      </c>
      <c r="V11">
        <v>0.58899999999999997</v>
      </c>
      <c r="W11">
        <v>0.58899999999999997</v>
      </c>
      <c r="X11">
        <v>0.58899999999999997</v>
      </c>
      <c r="Y11">
        <v>0.58899999999999997</v>
      </c>
      <c r="Z11">
        <v>0.58899999999999997</v>
      </c>
      <c r="AA11">
        <v>0.58899999999999997</v>
      </c>
      <c r="AB11">
        <v>0.58899999999999997</v>
      </c>
      <c r="AC11">
        <v>0.58899999999999997</v>
      </c>
      <c r="AD11">
        <v>0.58899999999999997</v>
      </c>
      <c r="AE11">
        <v>0.58899999999999997</v>
      </c>
      <c r="AF11">
        <v>0.58899999999999997</v>
      </c>
      <c r="AG11">
        <v>0.58899999999999997</v>
      </c>
      <c r="AH11">
        <v>0.58899999999999997</v>
      </c>
      <c r="AI11">
        <v>0.58899999999999997</v>
      </c>
      <c r="AJ11">
        <v>0.58899999999999997</v>
      </c>
      <c r="AK11">
        <v>0.58899999999999997</v>
      </c>
      <c r="AL11">
        <v>0.58899999999999997</v>
      </c>
      <c r="AM11">
        <v>0.58899999999999997</v>
      </c>
      <c r="AN11">
        <v>0.58899999999999997</v>
      </c>
      <c r="AO11">
        <v>0.58899999999999997</v>
      </c>
      <c r="AP11">
        <v>0.58899999999999997</v>
      </c>
      <c r="AQ11">
        <v>0.58899999999999997</v>
      </c>
      <c r="AR11">
        <v>0.58899999999999997</v>
      </c>
      <c r="AS11">
        <v>0.58899999999999997</v>
      </c>
      <c r="AT11">
        <v>0.58899999999999997</v>
      </c>
      <c r="AU11">
        <v>0.58899999999999997</v>
      </c>
      <c r="AV11">
        <v>0.58899999999999997</v>
      </c>
      <c r="AW11">
        <v>0.58899999999999997</v>
      </c>
      <c r="AX11">
        <v>0.58899999999999997</v>
      </c>
      <c r="AY11">
        <v>0.58899999999999997</v>
      </c>
      <c r="AZ11">
        <v>0.58899999999999997</v>
      </c>
      <c r="BA11">
        <v>0.58899999999999997</v>
      </c>
      <c r="BB11">
        <v>0.58899999999999997</v>
      </c>
      <c r="BC11">
        <v>0.58899999999999997</v>
      </c>
    </row>
    <row r="12" spans="1:55" x14ac:dyDescent="0.3">
      <c r="B12">
        <v>0.81599999999999995</v>
      </c>
      <c r="C12">
        <v>0.81599999999999995</v>
      </c>
      <c r="D12">
        <v>0.81599999999999995</v>
      </c>
      <c r="E12">
        <v>0.81599999999999995</v>
      </c>
      <c r="F12">
        <v>0.81599999999999995</v>
      </c>
      <c r="G12">
        <v>0.81599999999999995</v>
      </c>
      <c r="H12">
        <v>0.81599999999999995</v>
      </c>
      <c r="I12">
        <v>0.81599999999999995</v>
      </c>
      <c r="J12">
        <v>0.81599999999999995</v>
      </c>
      <c r="K12">
        <v>0.81599999999999995</v>
      </c>
      <c r="L12">
        <v>0.81599999999999995</v>
      </c>
      <c r="M12">
        <v>0.81599999999999995</v>
      </c>
      <c r="N12">
        <v>0.81599999999999995</v>
      </c>
      <c r="O12">
        <v>0.81599999999999995</v>
      </c>
      <c r="P12">
        <v>0.81599999999999995</v>
      </c>
      <c r="Q12">
        <v>0.81599999999999995</v>
      </c>
      <c r="R12">
        <v>0.81599999999999995</v>
      </c>
      <c r="S12">
        <v>0.81599999999999995</v>
      </c>
      <c r="T12">
        <v>0.81599999999999995</v>
      </c>
      <c r="U12">
        <v>0.81599999999999995</v>
      </c>
      <c r="V12">
        <v>0.81599999999999995</v>
      </c>
      <c r="W12">
        <v>0.81599999999999995</v>
      </c>
      <c r="X12">
        <v>0.81599999999999995</v>
      </c>
      <c r="Y12">
        <v>0.81599999999999995</v>
      </c>
      <c r="Z12">
        <v>0.81599999999999995</v>
      </c>
      <c r="AA12">
        <v>0.81599999999999995</v>
      </c>
      <c r="AB12">
        <v>0.81599999999999995</v>
      </c>
      <c r="AC12">
        <v>0.81599999999999995</v>
      </c>
      <c r="AD12">
        <v>0.81599999999999995</v>
      </c>
      <c r="AE12">
        <v>0.81599999999999995</v>
      </c>
      <c r="AF12">
        <v>0.81599999999999995</v>
      </c>
      <c r="AG12">
        <v>0.81599999999999995</v>
      </c>
      <c r="AH12">
        <v>0.81599999999999995</v>
      </c>
      <c r="AI12">
        <v>0.81599999999999995</v>
      </c>
      <c r="AJ12">
        <v>0.81599999999999995</v>
      </c>
      <c r="AK12">
        <v>0.81599999999999995</v>
      </c>
      <c r="AL12">
        <v>0.81599999999999995</v>
      </c>
      <c r="AM12">
        <v>0.81599999999999995</v>
      </c>
      <c r="AN12">
        <v>0.81599999999999995</v>
      </c>
      <c r="AO12">
        <v>0.81599999999999995</v>
      </c>
      <c r="AP12">
        <v>0.81599999999999995</v>
      </c>
      <c r="AQ12">
        <v>0.81599999999999995</v>
      </c>
      <c r="AR12">
        <v>0.81599999999999995</v>
      </c>
      <c r="AS12">
        <v>0.81599999999999995</v>
      </c>
      <c r="AT12">
        <v>0.81599999999999995</v>
      </c>
      <c r="AU12">
        <v>0.81599999999999995</v>
      </c>
      <c r="AV12">
        <v>0.81599999999999995</v>
      </c>
      <c r="AW12">
        <v>0.81599999999999995</v>
      </c>
      <c r="AX12">
        <v>0.81599999999999995</v>
      </c>
      <c r="AY12">
        <v>0.81599999999999995</v>
      </c>
      <c r="AZ12">
        <v>0.81599999999999995</v>
      </c>
      <c r="BA12">
        <v>0.81599999999999995</v>
      </c>
      <c r="BB12">
        <v>0.81599999999999995</v>
      </c>
      <c r="BC12">
        <v>0.81599999999999995</v>
      </c>
    </row>
    <row r="13" spans="1:55" x14ac:dyDescent="0.3">
      <c r="B13">
        <v>1.01</v>
      </c>
      <c r="C13">
        <v>1.01</v>
      </c>
      <c r="D13">
        <v>1.01</v>
      </c>
      <c r="E13">
        <v>1.01</v>
      </c>
      <c r="F13">
        <v>1.01</v>
      </c>
      <c r="G13">
        <v>1.01</v>
      </c>
      <c r="H13">
        <v>1.01</v>
      </c>
      <c r="I13">
        <v>1.01</v>
      </c>
      <c r="J13">
        <v>1.01</v>
      </c>
      <c r="K13">
        <v>1.01</v>
      </c>
      <c r="L13">
        <v>1.01</v>
      </c>
      <c r="M13">
        <v>1.01</v>
      </c>
      <c r="N13">
        <v>1.01</v>
      </c>
      <c r="O13">
        <v>1.01</v>
      </c>
      <c r="P13">
        <v>1.01</v>
      </c>
      <c r="Q13">
        <v>1.01</v>
      </c>
      <c r="R13">
        <v>1.01</v>
      </c>
      <c r="S13">
        <v>1.01</v>
      </c>
      <c r="T13">
        <v>1.01</v>
      </c>
      <c r="U13">
        <v>1.01</v>
      </c>
      <c r="V13">
        <v>1.01</v>
      </c>
      <c r="W13">
        <v>1.01</v>
      </c>
      <c r="X13">
        <v>1.01</v>
      </c>
      <c r="Y13">
        <v>1.01</v>
      </c>
      <c r="Z13">
        <v>1.01</v>
      </c>
      <c r="AA13">
        <v>1.01</v>
      </c>
      <c r="AB13">
        <v>1.01</v>
      </c>
      <c r="AC13">
        <v>1.01</v>
      </c>
      <c r="AD13">
        <v>1.01</v>
      </c>
      <c r="AE13">
        <v>1.01</v>
      </c>
      <c r="AF13">
        <v>1.01</v>
      </c>
      <c r="AG13">
        <v>1.01</v>
      </c>
      <c r="AH13">
        <v>1.01</v>
      </c>
      <c r="AI13">
        <v>1.01</v>
      </c>
      <c r="AJ13">
        <v>1.01</v>
      </c>
      <c r="AK13">
        <v>1.01</v>
      </c>
      <c r="AL13">
        <v>1.01</v>
      </c>
      <c r="AM13">
        <v>1.01</v>
      </c>
      <c r="AN13">
        <v>1.01</v>
      </c>
      <c r="AO13">
        <v>1.01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</row>
    <row r="14" spans="1:55" x14ac:dyDescent="0.3">
      <c r="B14">
        <v>1.153</v>
      </c>
      <c r="C14">
        <v>1.153</v>
      </c>
      <c r="D14">
        <v>1.153</v>
      </c>
      <c r="E14">
        <v>1.153</v>
      </c>
      <c r="F14">
        <v>1.153</v>
      </c>
      <c r="G14">
        <v>1.153</v>
      </c>
      <c r="H14">
        <v>1.153</v>
      </c>
      <c r="I14">
        <v>1.153</v>
      </c>
      <c r="J14">
        <v>1.153</v>
      </c>
      <c r="K14">
        <v>1.153</v>
      </c>
      <c r="L14">
        <v>1.153</v>
      </c>
      <c r="M14">
        <v>1.153</v>
      </c>
      <c r="N14">
        <v>1.153</v>
      </c>
      <c r="O14">
        <v>1.153</v>
      </c>
      <c r="P14">
        <v>1.153</v>
      </c>
      <c r="Q14">
        <v>1.153</v>
      </c>
      <c r="R14">
        <v>1.153</v>
      </c>
      <c r="S14">
        <v>1.153</v>
      </c>
      <c r="T14">
        <v>1.153</v>
      </c>
      <c r="U14">
        <v>1.153</v>
      </c>
      <c r="V14">
        <v>1.153</v>
      </c>
      <c r="W14">
        <v>1.153</v>
      </c>
      <c r="X14">
        <v>1.153</v>
      </c>
      <c r="Y14">
        <v>1.153</v>
      </c>
      <c r="Z14">
        <v>1.153</v>
      </c>
      <c r="AA14">
        <v>1.153</v>
      </c>
      <c r="AB14">
        <v>1.153</v>
      </c>
      <c r="AC14">
        <v>1.153</v>
      </c>
      <c r="AD14">
        <v>1.153</v>
      </c>
      <c r="AE14">
        <v>1.153</v>
      </c>
      <c r="AF14">
        <v>1.153</v>
      </c>
      <c r="AG14">
        <v>1.153</v>
      </c>
      <c r="AH14">
        <v>1.153</v>
      </c>
      <c r="AI14">
        <v>1.153</v>
      </c>
      <c r="AJ14">
        <v>1.153</v>
      </c>
      <c r="AK14">
        <v>1.153</v>
      </c>
      <c r="AL14">
        <v>1.153</v>
      </c>
      <c r="AM14">
        <v>1.153</v>
      </c>
      <c r="AN14">
        <v>1.153</v>
      </c>
      <c r="AO14">
        <v>1.153</v>
      </c>
      <c r="AP14">
        <v>1.153</v>
      </c>
      <c r="AQ14">
        <v>1.153</v>
      </c>
      <c r="AR14">
        <v>1.153</v>
      </c>
      <c r="AS14">
        <v>1.153</v>
      </c>
      <c r="AT14">
        <v>1.153</v>
      </c>
      <c r="AU14">
        <v>1.153</v>
      </c>
      <c r="AV14">
        <v>1.153</v>
      </c>
      <c r="AW14">
        <v>1.153</v>
      </c>
      <c r="AX14">
        <v>1.153</v>
      </c>
      <c r="AY14">
        <v>1.153</v>
      </c>
      <c r="AZ14">
        <v>1.153</v>
      </c>
      <c r="BA14">
        <v>1.153</v>
      </c>
      <c r="BB14">
        <v>1.153</v>
      </c>
      <c r="BC14">
        <v>1.153</v>
      </c>
    </row>
    <row r="15" spans="1:55" x14ac:dyDescent="0.3">
      <c r="B15">
        <v>1.361</v>
      </c>
      <c r="C15">
        <v>1.361</v>
      </c>
      <c r="D15">
        <v>1.361</v>
      </c>
      <c r="E15">
        <v>1.361</v>
      </c>
      <c r="F15">
        <v>1.361</v>
      </c>
      <c r="G15">
        <v>1.361</v>
      </c>
      <c r="H15">
        <v>1.361</v>
      </c>
      <c r="I15">
        <v>1.361</v>
      </c>
      <c r="J15">
        <v>1.361</v>
      </c>
      <c r="K15">
        <v>1.361</v>
      </c>
      <c r="L15">
        <v>1.361</v>
      </c>
      <c r="M15">
        <v>1.361</v>
      </c>
      <c r="N15">
        <v>1.361</v>
      </c>
      <c r="O15">
        <v>1.361</v>
      </c>
      <c r="P15">
        <v>1.361</v>
      </c>
      <c r="Q15">
        <v>1.361</v>
      </c>
      <c r="R15">
        <v>1.361</v>
      </c>
      <c r="S15">
        <v>1.361</v>
      </c>
      <c r="T15">
        <v>1.361</v>
      </c>
      <c r="U15">
        <v>1.361</v>
      </c>
      <c r="V15">
        <v>1.361</v>
      </c>
      <c r="W15">
        <v>1.361</v>
      </c>
      <c r="X15">
        <v>1.361</v>
      </c>
      <c r="Y15">
        <v>1.361</v>
      </c>
      <c r="Z15">
        <v>1.361</v>
      </c>
      <c r="AA15">
        <v>1.361</v>
      </c>
      <c r="AB15">
        <v>1.361</v>
      </c>
      <c r="AC15">
        <v>1.361</v>
      </c>
      <c r="AD15">
        <v>1.361</v>
      </c>
      <c r="AE15">
        <v>1.361</v>
      </c>
      <c r="AF15">
        <v>1.361</v>
      </c>
      <c r="AG15">
        <v>1.361</v>
      </c>
      <c r="AH15">
        <v>1.361</v>
      </c>
      <c r="AI15">
        <v>1.361</v>
      </c>
      <c r="AJ15">
        <v>1.361</v>
      </c>
      <c r="AK15">
        <v>1.361</v>
      </c>
      <c r="AL15">
        <v>1.361</v>
      </c>
      <c r="AM15">
        <v>1.361</v>
      </c>
      <c r="AN15">
        <v>1.361</v>
      </c>
      <c r="AO15">
        <v>1.361</v>
      </c>
      <c r="AP15">
        <v>1.361</v>
      </c>
      <c r="AQ15">
        <v>1.361</v>
      </c>
      <c r="AR15">
        <v>1.361</v>
      </c>
      <c r="AS15">
        <v>1.361</v>
      </c>
      <c r="AT15">
        <v>1.361</v>
      </c>
      <c r="AU15">
        <v>1.361</v>
      </c>
      <c r="AV15">
        <v>1.361</v>
      </c>
      <c r="AW15">
        <v>1.361</v>
      </c>
      <c r="AX15">
        <v>1.361</v>
      </c>
      <c r="AY15">
        <v>1.361</v>
      </c>
      <c r="AZ15">
        <v>1.361</v>
      </c>
      <c r="BA15">
        <v>1.361</v>
      </c>
      <c r="BB15">
        <v>1.361</v>
      </c>
      <c r="BC15">
        <v>1.361</v>
      </c>
    </row>
    <row r="16" spans="1:55" x14ac:dyDescent="0.3">
      <c r="B16">
        <v>1.5449999999999999</v>
      </c>
      <c r="C16">
        <v>1.5449999999999999</v>
      </c>
      <c r="D16">
        <v>1.5449999999999999</v>
      </c>
      <c r="E16">
        <v>1.5449999999999999</v>
      </c>
      <c r="F16">
        <v>1.5449999999999999</v>
      </c>
      <c r="G16">
        <v>1.5449999999999999</v>
      </c>
      <c r="H16">
        <v>1.5449999999999999</v>
      </c>
      <c r="I16">
        <v>1.5449999999999999</v>
      </c>
      <c r="J16">
        <v>1.5449999999999999</v>
      </c>
      <c r="K16">
        <v>1.5449999999999999</v>
      </c>
      <c r="L16">
        <v>1.5449999999999999</v>
      </c>
      <c r="M16">
        <v>1.5449999999999999</v>
      </c>
      <c r="N16">
        <v>1.5449999999999999</v>
      </c>
      <c r="O16">
        <v>1.5449999999999999</v>
      </c>
      <c r="P16">
        <v>1.5449999999999999</v>
      </c>
      <c r="Q16">
        <v>1.5449999999999999</v>
      </c>
      <c r="R16">
        <v>1.5449999999999999</v>
      </c>
      <c r="S16">
        <v>1.5449999999999999</v>
      </c>
      <c r="T16">
        <v>1.5449999999999999</v>
      </c>
      <c r="U16">
        <v>1.5449999999999999</v>
      </c>
      <c r="V16">
        <v>1.5449999999999999</v>
      </c>
      <c r="W16">
        <v>1.5449999999999999</v>
      </c>
      <c r="X16">
        <v>1.5449999999999999</v>
      </c>
      <c r="Y16">
        <v>1.5449999999999999</v>
      </c>
      <c r="Z16">
        <v>1.5449999999999999</v>
      </c>
      <c r="AA16">
        <v>1.5449999999999999</v>
      </c>
      <c r="AB16">
        <v>1.5449999999999999</v>
      </c>
      <c r="AC16">
        <v>1.5449999999999999</v>
      </c>
      <c r="AD16">
        <v>1.5449999999999999</v>
      </c>
      <c r="AE16">
        <v>1.5449999999999999</v>
      </c>
      <c r="AF16">
        <v>1.5449999999999999</v>
      </c>
      <c r="AG16">
        <v>1.5449999999999999</v>
      </c>
      <c r="AH16">
        <v>1.5449999999999999</v>
      </c>
      <c r="AI16">
        <v>1.5449999999999999</v>
      </c>
      <c r="AJ16">
        <v>1.5449999999999999</v>
      </c>
      <c r="AK16">
        <v>1.5449999999999999</v>
      </c>
      <c r="AL16">
        <v>1.5449999999999999</v>
      </c>
      <c r="AM16">
        <v>1.5449999999999999</v>
      </c>
      <c r="AN16">
        <v>1.5449999999999999</v>
      </c>
      <c r="AO16">
        <v>1.5449999999999999</v>
      </c>
      <c r="AP16">
        <v>1.5449999999999999</v>
      </c>
      <c r="AQ16">
        <v>1.5449999999999999</v>
      </c>
      <c r="AR16">
        <v>1.5449999999999999</v>
      </c>
      <c r="AS16">
        <v>1.5449999999999999</v>
      </c>
      <c r="AT16">
        <v>1.5449999999999999</v>
      </c>
      <c r="AU16">
        <v>1.5449999999999999</v>
      </c>
      <c r="AV16">
        <v>1.5449999999999999</v>
      </c>
      <c r="AW16">
        <v>1.5449999999999999</v>
      </c>
      <c r="AX16">
        <v>1.5449999999999999</v>
      </c>
      <c r="AY16">
        <v>1.5449999999999999</v>
      </c>
      <c r="AZ16">
        <v>1.5449999999999999</v>
      </c>
      <c r="BA16">
        <v>1.5449999999999999</v>
      </c>
      <c r="BB16">
        <v>1.5449999999999999</v>
      </c>
      <c r="BC16">
        <v>1.5449999999999999</v>
      </c>
    </row>
    <row r="17" spans="2:55" x14ac:dyDescent="0.3">
      <c r="B17">
        <v>1.671</v>
      </c>
      <c r="C17">
        <v>1.671</v>
      </c>
      <c r="D17">
        <v>1.671</v>
      </c>
      <c r="E17">
        <v>1.671</v>
      </c>
      <c r="F17">
        <v>1.671</v>
      </c>
      <c r="G17">
        <v>1.671</v>
      </c>
      <c r="H17">
        <v>1.671</v>
      </c>
      <c r="I17">
        <v>1.671</v>
      </c>
      <c r="J17">
        <v>1.671</v>
      </c>
      <c r="K17">
        <v>1.671</v>
      </c>
      <c r="L17">
        <v>1.671</v>
      </c>
      <c r="M17">
        <v>1.671</v>
      </c>
      <c r="N17">
        <v>1.671</v>
      </c>
      <c r="O17">
        <v>1.671</v>
      </c>
      <c r="P17">
        <v>1.671</v>
      </c>
      <c r="Q17">
        <v>1.671</v>
      </c>
      <c r="R17">
        <v>1.671</v>
      </c>
      <c r="S17">
        <v>1.671</v>
      </c>
      <c r="T17">
        <v>1.671</v>
      </c>
      <c r="U17">
        <v>1.671</v>
      </c>
      <c r="V17">
        <v>1.671</v>
      </c>
      <c r="W17">
        <v>1.671</v>
      </c>
      <c r="X17">
        <v>1.671</v>
      </c>
      <c r="Y17">
        <v>1.671</v>
      </c>
      <c r="Z17">
        <v>1.671</v>
      </c>
      <c r="AA17">
        <v>1.671</v>
      </c>
      <c r="AB17">
        <v>1.671</v>
      </c>
      <c r="AC17">
        <v>1.671</v>
      </c>
      <c r="AD17">
        <v>1.671</v>
      </c>
      <c r="AE17">
        <v>1.671</v>
      </c>
      <c r="AF17">
        <v>1.671</v>
      </c>
      <c r="AG17">
        <v>1.671</v>
      </c>
      <c r="AH17">
        <v>1.671</v>
      </c>
      <c r="AI17">
        <v>1.671</v>
      </c>
      <c r="AJ17">
        <v>1.671</v>
      </c>
      <c r="AK17">
        <v>1.671</v>
      </c>
      <c r="AL17">
        <v>1.671</v>
      </c>
      <c r="AM17">
        <v>1.671</v>
      </c>
      <c r="AN17">
        <v>1.671</v>
      </c>
      <c r="AO17">
        <v>1.671</v>
      </c>
      <c r="AP17">
        <v>1.671</v>
      </c>
      <c r="AQ17">
        <v>1.671</v>
      </c>
      <c r="AR17">
        <v>1.671</v>
      </c>
      <c r="AS17">
        <v>1.671</v>
      </c>
      <c r="AT17">
        <v>1.671</v>
      </c>
      <c r="AU17">
        <v>1.671</v>
      </c>
      <c r="AV17">
        <v>1.671</v>
      </c>
      <c r="AW17">
        <v>1.671</v>
      </c>
      <c r="AX17">
        <v>1.671</v>
      </c>
      <c r="AY17">
        <v>1.671</v>
      </c>
      <c r="AZ17">
        <v>1.671</v>
      </c>
      <c r="BA17">
        <v>1.671</v>
      </c>
      <c r="BB17">
        <v>1.671</v>
      </c>
      <c r="BC17">
        <v>1.671</v>
      </c>
    </row>
    <row r="18" spans="2:55" x14ac:dyDescent="0.3">
      <c r="B18">
        <v>1.7569999999999999</v>
      </c>
      <c r="C18">
        <v>1.766</v>
      </c>
      <c r="D18">
        <v>1.76</v>
      </c>
      <c r="E18">
        <v>1.8</v>
      </c>
      <c r="F18">
        <v>1.766</v>
      </c>
      <c r="G18">
        <v>1.7689999999999999</v>
      </c>
      <c r="H18">
        <v>1.772</v>
      </c>
      <c r="I18">
        <v>1.74</v>
      </c>
      <c r="J18">
        <v>1.7929999999999999</v>
      </c>
      <c r="K18">
        <v>1.774</v>
      </c>
      <c r="L18">
        <v>1.766</v>
      </c>
      <c r="M18">
        <v>1.7889999999999999</v>
      </c>
      <c r="N18">
        <v>1.7869999999999999</v>
      </c>
      <c r="O18">
        <v>1.7789999999999999</v>
      </c>
      <c r="P18">
        <v>1.7509999999999999</v>
      </c>
      <c r="Q18">
        <v>1.8240000000000001</v>
      </c>
      <c r="R18">
        <v>1.7529999999999999</v>
      </c>
      <c r="S18">
        <v>1.7769999999999999</v>
      </c>
      <c r="T18">
        <v>1.7649999999999999</v>
      </c>
      <c r="U18">
        <v>1.7649999999999999</v>
      </c>
      <c r="V18">
        <v>1.7589999999999999</v>
      </c>
      <c r="W18">
        <v>1.7589999999999999</v>
      </c>
      <c r="X18">
        <v>1.7589999999999999</v>
      </c>
      <c r="Y18">
        <v>1.798</v>
      </c>
      <c r="Z18">
        <v>1.7470000000000001</v>
      </c>
      <c r="AA18">
        <v>1.7709999999999999</v>
      </c>
      <c r="AB18">
        <v>1.7829999999999999</v>
      </c>
      <c r="AC18">
        <v>1.778</v>
      </c>
      <c r="AD18">
        <v>1.7749999999999999</v>
      </c>
      <c r="AE18">
        <v>1.74</v>
      </c>
      <c r="AF18">
        <v>1.7450000000000001</v>
      </c>
      <c r="AG18">
        <v>1.772</v>
      </c>
      <c r="AH18">
        <v>1.792</v>
      </c>
      <c r="AI18">
        <v>1.754</v>
      </c>
      <c r="AJ18">
        <v>1.7490000000000001</v>
      </c>
      <c r="AK18">
        <v>1.8160000000000001</v>
      </c>
      <c r="AL18">
        <v>1.77</v>
      </c>
      <c r="AM18">
        <v>1.7929999999999999</v>
      </c>
      <c r="AN18">
        <v>1.77</v>
      </c>
      <c r="AO18">
        <v>1.7629999999999999</v>
      </c>
      <c r="AP18">
        <v>1.7749999999999999</v>
      </c>
      <c r="AQ18">
        <v>1.7629999999999999</v>
      </c>
      <c r="AR18">
        <v>1.792</v>
      </c>
      <c r="AS18">
        <v>1.7689999999999999</v>
      </c>
      <c r="AT18">
        <v>1.7669999999999999</v>
      </c>
      <c r="AU18">
        <v>1.744</v>
      </c>
      <c r="AV18">
        <v>1.819</v>
      </c>
      <c r="AW18">
        <v>1.7809999999999999</v>
      </c>
      <c r="AX18">
        <v>1.7569999999999999</v>
      </c>
      <c r="AY18">
        <v>1.7769999999999999</v>
      </c>
      <c r="AZ18">
        <v>1.7390000000000001</v>
      </c>
      <c r="BA18">
        <v>1.756</v>
      </c>
      <c r="BB18">
        <v>1.752</v>
      </c>
      <c r="BC18">
        <v>1.8029999999999999</v>
      </c>
    </row>
    <row r="19" spans="2:55" x14ac:dyDescent="0.3">
      <c r="B19">
        <v>1.891</v>
      </c>
      <c r="C19">
        <v>1.893</v>
      </c>
      <c r="D19">
        <v>1.8680000000000001</v>
      </c>
      <c r="E19">
        <v>1.9810000000000001</v>
      </c>
      <c r="F19">
        <v>1.8919999999999999</v>
      </c>
      <c r="G19">
        <v>2.2210000000000001</v>
      </c>
      <c r="H19">
        <v>2.226</v>
      </c>
      <c r="I19">
        <v>2.14</v>
      </c>
      <c r="J19">
        <v>2.2189999999999999</v>
      </c>
      <c r="K19">
        <v>2.238</v>
      </c>
      <c r="L19">
        <v>2.2120000000000002</v>
      </c>
      <c r="M19">
        <v>2.2919999999999998</v>
      </c>
      <c r="N19">
        <v>2.2429999999999999</v>
      </c>
      <c r="O19">
        <v>2.25</v>
      </c>
      <c r="P19">
        <v>2.1539999999999999</v>
      </c>
      <c r="Q19">
        <v>2.1379999999999999</v>
      </c>
      <c r="R19">
        <v>1.8959999999999999</v>
      </c>
      <c r="S19">
        <v>1.9950000000000001</v>
      </c>
      <c r="T19">
        <v>1.919</v>
      </c>
      <c r="U19">
        <v>1.944</v>
      </c>
      <c r="V19">
        <v>2.0739999999999998</v>
      </c>
      <c r="W19">
        <v>2.0699999999999998</v>
      </c>
      <c r="X19">
        <v>2.0459999999999998</v>
      </c>
      <c r="Y19">
        <v>2.173</v>
      </c>
      <c r="Z19">
        <v>2.02</v>
      </c>
      <c r="AA19">
        <v>2.2269999999999999</v>
      </c>
      <c r="AB19">
        <v>2.2370000000000001</v>
      </c>
      <c r="AC19">
        <v>2.2189999999999999</v>
      </c>
      <c r="AD19">
        <v>2.2610000000000001</v>
      </c>
      <c r="AE19">
        <v>2.1749999999999998</v>
      </c>
      <c r="AF19">
        <v>2.125</v>
      </c>
      <c r="AG19">
        <v>2.1989999999999998</v>
      </c>
      <c r="AH19">
        <v>2.2309999999999999</v>
      </c>
      <c r="AI19">
        <v>2.1219999999999999</v>
      </c>
      <c r="AJ19">
        <v>2.141</v>
      </c>
      <c r="AK19">
        <v>2.2759999999999998</v>
      </c>
      <c r="AL19">
        <v>2.1619999999999999</v>
      </c>
      <c r="AM19">
        <v>2.2000000000000002</v>
      </c>
      <c r="AN19">
        <v>2.1859999999999999</v>
      </c>
      <c r="AO19">
        <v>2.149</v>
      </c>
      <c r="AP19">
        <v>1.89</v>
      </c>
      <c r="AQ19">
        <v>1.8720000000000001</v>
      </c>
      <c r="AR19">
        <v>1.931</v>
      </c>
      <c r="AS19">
        <v>1.885</v>
      </c>
      <c r="AT19">
        <v>1.861</v>
      </c>
      <c r="AU19">
        <v>1.829</v>
      </c>
      <c r="AV19">
        <v>2.04</v>
      </c>
      <c r="AW19">
        <v>1.968</v>
      </c>
      <c r="AX19">
        <v>1.859</v>
      </c>
      <c r="AY19">
        <v>1.889</v>
      </c>
      <c r="AZ19">
        <v>1.8260000000000001</v>
      </c>
      <c r="BA19">
        <v>1.853</v>
      </c>
      <c r="BB19">
        <v>1.8640000000000001</v>
      </c>
      <c r="BC19">
        <v>1.972</v>
      </c>
    </row>
    <row r="20" spans="2:55" x14ac:dyDescent="0.3">
      <c r="B20">
        <v>2.0249999999999999</v>
      </c>
      <c r="C20">
        <v>2.0249999999999999</v>
      </c>
      <c r="D20">
        <v>1.9690000000000001</v>
      </c>
      <c r="E20">
        <v>2.1509999999999998</v>
      </c>
      <c r="F20">
        <v>1.998</v>
      </c>
      <c r="G20">
        <v>2.5939999999999999</v>
      </c>
      <c r="H20">
        <v>2.585</v>
      </c>
      <c r="I20">
        <v>2.5640000000000001</v>
      </c>
      <c r="J20">
        <v>2.5830000000000002</v>
      </c>
      <c r="K20">
        <v>2.66</v>
      </c>
      <c r="L20">
        <v>2.7210000000000001</v>
      </c>
      <c r="M20">
        <v>2.8250000000000002</v>
      </c>
      <c r="N20">
        <v>2.7309999999999999</v>
      </c>
      <c r="O20">
        <v>2.7690000000000001</v>
      </c>
      <c r="P20">
        <v>2.625</v>
      </c>
      <c r="Q20">
        <v>2.673</v>
      </c>
      <c r="R20">
        <v>2.202</v>
      </c>
      <c r="S20">
        <v>2.4049999999999998</v>
      </c>
      <c r="T20">
        <v>2.266</v>
      </c>
      <c r="U20">
        <v>2.37</v>
      </c>
      <c r="V20">
        <v>2.5990000000000002</v>
      </c>
      <c r="W20">
        <v>2.649</v>
      </c>
      <c r="X20">
        <v>2.6</v>
      </c>
      <c r="Y20">
        <v>2.7320000000000002</v>
      </c>
      <c r="Z20">
        <v>2.5449999999999999</v>
      </c>
      <c r="AA20">
        <v>2.85</v>
      </c>
      <c r="AB20">
        <v>2.8769999999999998</v>
      </c>
      <c r="AC20">
        <v>2.835</v>
      </c>
      <c r="AD20">
        <v>2.9569999999999999</v>
      </c>
      <c r="AE20">
        <v>2.8260000000000001</v>
      </c>
      <c r="AF20">
        <v>2.9159999999999999</v>
      </c>
      <c r="AG20">
        <v>3.0670000000000002</v>
      </c>
      <c r="AH20">
        <v>3.2109999999999999</v>
      </c>
      <c r="AI20">
        <v>2.9060000000000001</v>
      </c>
      <c r="AJ20">
        <v>2.9910000000000001</v>
      </c>
      <c r="AK20">
        <v>3.3809999999999998</v>
      </c>
      <c r="AL20">
        <v>3.0390000000000001</v>
      </c>
      <c r="AM20">
        <v>3.133</v>
      </c>
      <c r="AN20">
        <v>3.069</v>
      </c>
      <c r="AO20">
        <v>2.9660000000000002</v>
      </c>
      <c r="AP20">
        <v>2.0430000000000001</v>
      </c>
      <c r="AQ20">
        <v>2.0129999999999999</v>
      </c>
      <c r="AR20">
        <v>2.1120000000000001</v>
      </c>
      <c r="AS20">
        <v>2.004</v>
      </c>
      <c r="AT20">
        <v>1.9419999999999999</v>
      </c>
      <c r="AU20">
        <v>1.9450000000000001</v>
      </c>
      <c r="AV20">
        <v>2.3149999999999999</v>
      </c>
      <c r="AW20">
        <v>2.234</v>
      </c>
      <c r="AX20">
        <v>1.9790000000000001</v>
      </c>
      <c r="AY20">
        <v>2.0419999999999998</v>
      </c>
      <c r="AZ20">
        <v>1.9370000000000001</v>
      </c>
      <c r="BA20">
        <v>1.958</v>
      </c>
      <c r="BB20">
        <v>1.9550000000000001</v>
      </c>
      <c r="BC20">
        <v>2.2040000000000002</v>
      </c>
    </row>
    <row r="21" spans="2:55" x14ac:dyDescent="0.3">
      <c r="B21">
        <v>2.2669999999999999</v>
      </c>
      <c r="C21">
        <v>2.27</v>
      </c>
      <c r="D21">
        <v>2.1800000000000002</v>
      </c>
      <c r="E21">
        <v>2.4430000000000001</v>
      </c>
      <c r="F21">
        <v>2.214</v>
      </c>
      <c r="G21">
        <v>3.004</v>
      </c>
      <c r="H21">
        <v>2.972</v>
      </c>
      <c r="I21">
        <v>2.9740000000000002</v>
      </c>
      <c r="J21">
        <v>2.972</v>
      </c>
      <c r="K21">
        <v>3.056</v>
      </c>
      <c r="L21">
        <v>3.2759999999999998</v>
      </c>
      <c r="M21">
        <v>3.347</v>
      </c>
      <c r="N21">
        <v>3.282</v>
      </c>
      <c r="O21">
        <v>3.3220000000000001</v>
      </c>
      <c r="P21">
        <v>3.1819999999999999</v>
      </c>
      <c r="Q21">
        <v>3.395</v>
      </c>
      <c r="R21">
        <v>2.7309999999999999</v>
      </c>
      <c r="S21">
        <v>3.0880000000000001</v>
      </c>
      <c r="T21">
        <v>2.8490000000000002</v>
      </c>
      <c r="U21">
        <v>3.0129999999999999</v>
      </c>
      <c r="V21">
        <v>3.3679999999999999</v>
      </c>
      <c r="W21">
        <v>3.4590000000000001</v>
      </c>
      <c r="X21">
        <v>3.4180000000000001</v>
      </c>
      <c r="Y21">
        <v>3.5030000000000001</v>
      </c>
      <c r="Z21">
        <v>3.363</v>
      </c>
      <c r="AA21">
        <v>3.7170000000000001</v>
      </c>
      <c r="AB21">
        <v>3.7959999999999998</v>
      </c>
      <c r="AC21">
        <v>3.782</v>
      </c>
      <c r="AD21">
        <v>3.9020000000000001</v>
      </c>
      <c r="AE21">
        <v>3.7959999999999998</v>
      </c>
      <c r="AF21">
        <v>4.5970000000000004</v>
      </c>
      <c r="AG21">
        <v>4.8090000000000002</v>
      </c>
      <c r="AH21">
        <v>5.2519999999999998</v>
      </c>
      <c r="AI21">
        <v>4.5439999999999996</v>
      </c>
      <c r="AJ21">
        <v>4.7169999999999996</v>
      </c>
      <c r="AK21">
        <v>5.3819999999999997</v>
      </c>
      <c r="AL21">
        <v>4.6539999999999999</v>
      </c>
      <c r="AM21">
        <v>4.923</v>
      </c>
      <c r="AN21">
        <v>4.6429999999999998</v>
      </c>
      <c r="AO21">
        <v>4.5679999999999996</v>
      </c>
      <c r="AP21">
        <v>2.2799999999999998</v>
      </c>
      <c r="AQ21">
        <v>2.2989999999999999</v>
      </c>
      <c r="AR21">
        <v>2.4049999999999998</v>
      </c>
      <c r="AS21">
        <v>2.2570000000000001</v>
      </c>
      <c r="AT21">
        <v>2.1030000000000002</v>
      </c>
      <c r="AU21">
        <v>2.1640000000000001</v>
      </c>
      <c r="AV21">
        <v>2.6520000000000001</v>
      </c>
      <c r="AW21">
        <v>2.5819999999999999</v>
      </c>
      <c r="AX21">
        <v>2.2269999999999999</v>
      </c>
      <c r="AY21">
        <v>2.3199999999999998</v>
      </c>
      <c r="AZ21">
        <v>2.1379999999999999</v>
      </c>
      <c r="BA21">
        <v>2.1960000000000002</v>
      </c>
      <c r="BB21">
        <v>2.165</v>
      </c>
      <c r="BC21">
        <v>2.5289999999999999</v>
      </c>
    </row>
    <row r="22" spans="2:55" x14ac:dyDescent="0.3">
      <c r="B22">
        <v>2.621</v>
      </c>
      <c r="C22">
        <v>2.6840000000000002</v>
      </c>
      <c r="D22">
        <v>2.5390000000000001</v>
      </c>
      <c r="E22">
        <v>2.8490000000000002</v>
      </c>
      <c r="F22">
        <v>2.5499999999999998</v>
      </c>
      <c r="G22">
        <v>3.468</v>
      </c>
      <c r="H22">
        <v>3.4329999999999998</v>
      </c>
      <c r="I22">
        <v>3.4769999999999999</v>
      </c>
      <c r="J22">
        <v>3.42</v>
      </c>
      <c r="K22">
        <v>3.5150000000000001</v>
      </c>
      <c r="L22">
        <v>3.9529999999999998</v>
      </c>
      <c r="M22">
        <v>3.96</v>
      </c>
      <c r="N22">
        <v>3.9430000000000001</v>
      </c>
      <c r="O22">
        <v>3.988</v>
      </c>
      <c r="P22">
        <v>3.8690000000000002</v>
      </c>
      <c r="Q22">
        <v>4.2329999999999997</v>
      </c>
      <c r="R22">
        <v>3.4849999999999999</v>
      </c>
      <c r="S22">
        <v>3.9889999999999999</v>
      </c>
      <c r="T22">
        <v>3.6739999999999999</v>
      </c>
      <c r="U22">
        <v>3.8959999999999999</v>
      </c>
      <c r="V22">
        <v>4.4050000000000002</v>
      </c>
      <c r="W22">
        <v>4.4379999999999997</v>
      </c>
      <c r="X22">
        <v>4.4320000000000004</v>
      </c>
      <c r="Y22">
        <v>4.5519999999999996</v>
      </c>
      <c r="Z22">
        <v>4.3899999999999997</v>
      </c>
      <c r="AA22">
        <v>4.8109999999999999</v>
      </c>
      <c r="AB22">
        <v>4.9260000000000002</v>
      </c>
      <c r="AC22">
        <v>4.9290000000000003</v>
      </c>
      <c r="AD22">
        <v>4.9649999999999999</v>
      </c>
      <c r="AE22">
        <v>4.9930000000000003</v>
      </c>
      <c r="AF22">
        <v>7.2949999999999999</v>
      </c>
      <c r="AG22">
        <v>7.5990000000000002</v>
      </c>
      <c r="AH22">
        <v>8.0820000000000007</v>
      </c>
      <c r="AI22">
        <v>7.2480000000000002</v>
      </c>
      <c r="AJ22">
        <v>7.3250000000000002</v>
      </c>
      <c r="AK22">
        <v>8.2899999999999991</v>
      </c>
      <c r="AL22">
        <v>7.2270000000000003</v>
      </c>
      <c r="AM22">
        <v>7.7069999999999999</v>
      </c>
      <c r="AN22">
        <v>7.1740000000000004</v>
      </c>
      <c r="AO22">
        <v>7.3230000000000004</v>
      </c>
      <c r="AP22">
        <v>2.6659999999999999</v>
      </c>
      <c r="AQ22">
        <v>2.69</v>
      </c>
      <c r="AR22">
        <v>2.8109999999999999</v>
      </c>
      <c r="AS22">
        <v>2.6259999999999999</v>
      </c>
      <c r="AT22">
        <v>2.3570000000000002</v>
      </c>
      <c r="AU22">
        <v>2.4780000000000002</v>
      </c>
      <c r="AV22">
        <v>3.0830000000000002</v>
      </c>
      <c r="AW22">
        <v>2.9990000000000001</v>
      </c>
      <c r="AX22">
        <v>2.5710000000000002</v>
      </c>
      <c r="AY22">
        <v>2.754</v>
      </c>
      <c r="AZ22">
        <v>2.4140000000000001</v>
      </c>
      <c r="BA22">
        <v>2.5009999999999999</v>
      </c>
      <c r="BB22">
        <v>2.5289999999999999</v>
      </c>
      <c r="BC22">
        <v>2.964</v>
      </c>
    </row>
    <row r="23" spans="2:55" x14ac:dyDescent="0.3">
      <c r="B23">
        <v>2.93</v>
      </c>
      <c r="C23">
        <v>2.9950000000000001</v>
      </c>
      <c r="D23">
        <v>2.8620000000000001</v>
      </c>
      <c r="E23">
        <v>3.129</v>
      </c>
      <c r="F23">
        <v>2.883</v>
      </c>
      <c r="G23">
        <v>3.782</v>
      </c>
      <c r="H23">
        <v>3.7890000000000001</v>
      </c>
      <c r="I23">
        <v>3.8940000000000001</v>
      </c>
      <c r="J23">
        <v>3.738</v>
      </c>
      <c r="K23">
        <v>3.8660000000000001</v>
      </c>
      <c r="L23">
        <v>4.5609999999999999</v>
      </c>
      <c r="M23">
        <v>4.4939999999999998</v>
      </c>
      <c r="N23">
        <v>4.577</v>
      </c>
      <c r="O23">
        <v>4.5949999999999998</v>
      </c>
      <c r="P23">
        <v>4.5069999999999997</v>
      </c>
      <c r="Q23">
        <v>5.077</v>
      </c>
      <c r="R23">
        <v>4.399</v>
      </c>
      <c r="S23">
        <v>4.8380000000000001</v>
      </c>
      <c r="T23">
        <v>4.5890000000000004</v>
      </c>
      <c r="U23">
        <v>4.766</v>
      </c>
      <c r="V23">
        <v>5.6180000000000003</v>
      </c>
      <c r="W23">
        <v>5.532</v>
      </c>
      <c r="X23">
        <v>5.5679999999999996</v>
      </c>
      <c r="Y23">
        <v>5.7220000000000004</v>
      </c>
      <c r="Z23">
        <v>5.4329999999999998</v>
      </c>
      <c r="AA23">
        <v>5.907</v>
      </c>
      <c r="AB23">
        <v>6.0860000000000003</v>
      </c>
      <c r="AC23">
        <v>6.032</v>
      </c>
      <c r="AD23">
        <v>6.0620000000000003</v>
      </c>
      <c r="AE23">
        <v>6.1310000000000002</v>
      </c>
      <c r="AF23">
        <v>11.193</v>
      </c>
      <c r="AG23">
        <v>11.507999999999999</v>
      </c>
      <c r="AH23">
        <v>11.496</v>
      </c>
      <c r="AI23">
        <v>11.021000000000001</v>
      </c>
      <c r="AJ23">
        <v>11.164999999999999</v>
      </c>
      <c r="AK23">
        <v>11.645</v>
      </c>
      <c r="AL23">
        <v>10.711</v>
      </c>
      <c r="AM23">
        <v>11.196</v>
      </c>
      <c r="AN23">
        <v>10.637</v>
      </c>
      <c r="AO23">
        <v>10.941000000000001</v>
      </c>
      <c r="AP23">
        <v>2.9940000000000002</v>
      </c>
      <c r="AQ23">
        <v>3.05</v>
      </c>
      <c r="AR23">
        <v>3.129</v>
      </c>
      <c r="AS23">
        <v>2.96</v>
      </c>
      <c r="AT23">
        <v>2.5830000000000002</v>
      </c>
      <c r="AU23">
        <v>2.7919999999999998</v>
      </c>
      <c r="AV23">
        <v>3.3980000000000001</v>
      </c>
      <c r="AW23">
        <v>3.323</v>
      </c>
      <c r="AX23">
        <v>2.855</v>
      </c>
      <c r="AY23">
        <v>3.105</v>
      </c>
      <c r="AZ23">
        <v>2.6819999999999999</v>
      </c>
      <c r="BA23">
        <v>2.8</v>
      </c>
      <c r="BB23">
        <v>2.8210000000000002</v>
      </c>
      <c r="BC23">
        <v>3.2639999999999998</v>
      </c>
    </row>
    <row r="24" spans="2:55" x14ac:dyDescent="0.3">
      <c r="B24">
        <v>3.19</v>
      </c>
      <c r="C24">
        <v>3.26</v>
      </c>
      <c r="D24">
        <v>3.15</v>
      </c>
      <c r="E24">
        <v>3.3370000000000002</v>
      </c>
      <c r="F24">
        <v>3.141</v>
      </c>
      <c r="G24">
        <v>4.0119999999999996</v>
      </c>
      <c r="H24">
        <v>4.03</v>
      </c>
      <c r="I24">
        <v>4.117</v>
      </c>
      <c r="J24">
        <v>3.9569999999999999</v>
      </c>
      <c r="K24">
        <v>4.1120000000000001</v>
      </c>
      <c r="L24">
        <v>5.0659999999999998</v>
      </c>
      <c r="M24">
        <v>4.9939999999999998</v>
      </c>
      <c r="N24">
        <v>5.1130000000000004</v>
      </c>
      <c r="O24">
        <v>5.0990000000000002</v>
      </c>
      <c r="P24">
        <v>5.0229999999999997</v>
      </c>
      <c r="Q24">
        <v>5.9829999999999997</v>
      </c>
      <c r="R24">
        <v>5.3040000000000003</v>
      </c>
      <c r="S24">
        <v>5.617</v>
      </c>
      <c r="T24">
        <v>5.4279999999999999</v>
      </c>
      <c r="U24">
        <v>5.5579999999999998</v>
      </c>
      <c r="V24">
        <v>6.7670000000000003</v>
      </c>
      <c r="W24">
        <v>6.6269999999999998</v>
      </c>
      <c r="X24">
        <v>6.6680000000000001</v>
      </c>
      <c r="Y24">
        <v>6.7930000000000001</v>
      </c>
      <c r="Z24">
        <v>6.4829999999999997</v>
      </c>
      <c r="AA24">
        <v>6.98</v>
      </c>
      <c r="AB24">
        <v>7.1769999999999996</v>
      </c>
      <c r="AC24">
        <v>7.1280000000000001</v>
      </c>
      <c r="AD24">
        <v>7.1</v>
      </c>
      <c r="AE24">
        <v>7.109</v>
      </c>
      <c r="AF24">
        <v>15.576000000000001</v>
      </c>
      <c r="AG24">
        <v>15.436</v>
      </c>
      <c r="AH24">
        <v>15.645</v>
      </c>
      <c r="AI24">
        <v>15.057</v>
      </c>
      <c r="AJ24">
        <v>15.237</v>
      </c>
      <c r="AK24">
        <v>15.242000000000001</v>
      </c>
      <c r="AL24">
        <v>14.532</v>
      </c>
      <c r="AM24">
        <v>14.662000000000001</v>
      </c>
      <c r="AN24">
        <v>14.377000000000001</v>
      </c>
      <c r="AO24">
        <v>14.528</v>
      </c>
      <c r="AP24">
        <v>3.3050000000000002</v>
      </c>
      <c r="AQ24">
        <v>3.359</v>
      </c>
      <c r="AR24">
        <v>3.4590000000000001</v>
      </c>
      <c r="AS24">
        <v>3.2719999999999998</v>
      </c>
      <c r="AT24">
        <v>2.8679999999999999</v>
      </c>
      <c r="AU24">
        <v>3.0880000000000001</v>
      </c>
      <c r="AV24">
        <v>3.7069999999999999</v>
      </c>
      <c r="AW24">
        <v>3.593</v>
      </c>
      <c r="AX24">
        <v>3.129</v>
      </c>
      <c r="AY24">
        <v>3.423</v>
      </c>
      <c r="AZ24">
        <v>2.9729999999999999</v>
      </c>
      <c r="BA24">
        <v>3.077</v>
      </c>
      <c r="BB24">
        <v>3.1139999999999999</v>
      </c>
      <c r="BC24">
        <v>3.5329999999999999</v>
      </c>
    </row>
    <row r="25" spans="2:55" x14ac:dyDescent="0.3">
      <c r="B25">
        <v>3.4430000000000001</v>
      </c>
      <c r="C25">
        <v>3.49</v>
      </c>
      <c r="D25">
        <v>3.4020000000000001</v>
      </c>
      <c r="E25">
        <v>3.5870000000000002</v>
      </c>
      <c r="F25">
        <v>3.4209999999999998</v>
      </c>
      <c r="G25">
        <v>4.5540000000000003</v>
      </c>
      <c r="H25">
        <v>4.6159999999999997</v>
      </c>
      <c r="I25">
        <v>4.6040000000000001</v>
      </c>
      <c r="J25">
        <v>4.5039999999999996</v>
      </c>
      <c r="K25">
        <v>4.7030000000000003</v>
      </c>
      <c r="L25">
        <v>5.8550000000000004</v>
      </c>
      <c r="M25">
        <v>5.85</v>
      </c>
      <c r="N25">
        <v>5.9329999999999998</v>
      </c>
      <c r="O25">
        <v>5.9160000000000004</v>
      </c>
      <c r="P25">
        <v>5.7480000000000002</v>
      </c>
      <c r="Q25">
        <v>6.944</v>
      </c>
      <c r="R25">
        <v>6.0019999999999998</v>
      </c>
      <c r="S25">
        <v>6.3280000000000003</v>
      </c>
      <c r="T25">
        <v>6.0620000000000003</v>
      </c>
      <c r="U25">
        <v>6.2519999999999998</v>
      </c>
      <c r="V25">
        <v>7.7480000000000002</v>
      </c>
      <c r="W25">
        <v>7.5819999999999999</v>
      </c>
      <c r="X25">
        <v>7.6020000000000003</v>
      </c>
      <c r="Y25">
        <v>7.7869999999999999</v>
      </c>
      <c r="Z25">
        <v>7.4390000000000001</v>
      </c>
      <c r="AA25">
        <v>8.0980000000000008</v>
      </c>
      <c r="AB25">
        <v>8.2970000000000006</v>
      </c>
      <c r="AC25">
        <v>8.2119999999999997</v>
      </c>
      <c r="AD25">
        <v>8.1829999999999998</v>
      </c>
      <c r="AE25">
        <v>8.07</v>
      </c>
      <c r="AF25">
        <v>18.588000000000001</v>
      </c>
      <c r="AG25">
        <v>18.045000000000002</v>
      </c>
      <c r="AH25">
        <v>18.417999999999999</v>
      </c>
      <c r="AI25">
        <v>17.757999999999999</v>
      </c>
      <c r="AJ25">
        <v>17.972999999999999</v>
      </c>
      <c r="AK25">
        <v>17.579999999999998</v>
      </c>
      <c r="AL25">
        <v>17.134</v>
      </c>
      <c r="AM25">
        <v>16.939</v>
      </c>
      <c r="AN25">
        <v>16.927</v>
      </c>
      <c r="AO25">
        <v>16.809999999999999</v>
      </c>
      <c r="AP25">
        <v>3.6349999999999998</v>
      </c>
      <c r="AQ25">
        <v>3.661</v>
      </c>
      <c r="AR25">
        <v>3.8210000000000002</v>
      </c>
      <c r="AS25">
        <v>3.5680000000000001</v>
      </c>
      <c r="AT25">
        <v>3.1419999999999999</v>
      </c>
      <c r="AU25">
        <v>3.3919999999999999</v>
      </c>
      <c r="AV25">
        <v>4.0620000000000003</v>
      </c>
      <c r="AW25">
        <v>3.94</v>
      </c>
      <c r="AX25">
        <v>3.4380000000000002</v>
      </c>
      <c r="AY25">
        <v>3.7429999999999999</v>
      </c>
      <c r="AZ25">
        <v>3.282</v>
      </c>
      <c r="BA25">
        <v>3.3860000000000001</v>
      </c>
      <c r="BB25">
        <v>3.4159999999999999</v>
      </c>
      <c r="BC25">
        <v>3.8159999999999998</v>
      </c>
    </row>
    <row r="26" spans="2:55" x14ac:dyDescent="0.3">
      <c r="B26">
        <v>3.6280000000000001</v>
      </c>
      <c r="C26">
        <v>3.673</v>
      </c>
      <c r="D26">
        <v>3.5720000000000001</v>
      </c>
      <c r="E26">
        <v>3.8109999999999999</v>
      </c>
      <c r="F26">
        <v>3.6190000000000002</v>
      </c>
      <c r="G26">
        <v>5.2030000000000003</v>
      </c>
      <c r="H26">
        <v>5.2629999999999999</v>
      </c>
      <c r="I26">
        <v>5.2869999999999999</v>
      </c>
      <c r="J26">
        <v>5.0949999999999998</v>
      </c>
      <c r="K26">
        <v>5.4020000000000001</v>
      </c>
      <c r="L26">
        <v>6.9290000000000003</v>
      </c>
      <c r="M26">
        <v>7.008</v>
      </c>
      <c r="N26">
        <v>6.9790000000000001</v>
      </c>
      <c r="O26">
        <v>7.0119999999999996</v>
      </c>
      <c r="P26">
        <v>6.7389999999999999</v>
      </c>
      <c r="Q26">
        <v>7.984</v>
      </c>
      <c r="R26">
        <v>6.5860000000000003</v>
      </c>
      <c r="S26">
        <v>7.125</v>
      </c>
      <c r="T26">
        <v>6.7220000000000004</v>
      </c>
      <c r="U26">
        <v>7.0069999999999997</v>
      </c>
      <c r="V26">
        <v>8.5939999999999994</v>
      </c>
      <c r="W26">
        <v>8.5210000000000008</v>
      </c>
      <c r="X26">
        <v>8.5079999999999991</v>
      </c>
      <c r="Y26">
        <v>8.73</v>
      </c>
      <c r="Z26">
        <v>8.3740000000000006</v>
      </c>
      <c r="AA26">
        <v>9.27</v>
      </c>
      <c r="AB26">
        <v>9.4269999999999996</v>
      </c>
      <c r="AC26">
        <v>9.2919999999999998</v>
      </c>
      <c r="AD26">
        <v>9.4169999999999998</v>
      </c>
      <c r="AE26">
        <v>9.18</v>
      </c>
      <c r="AF26">
        <v>21.093</v>
      </c>
      <c r="AG26">
        <v>20.96</v>
      </c>
      <c r="AH26">
        <v>21.199000000000002</v>
      </c>
      <c r="AI26">
        <v>20.268999999999998</v>
      </c>
      <c r="AJ26">
        <v>20.51</v>
      </c>
      <c r="AK26">
        <v>19.891999999999999</v>
      </c>
      <c r="AL26">
        <v>19.46</v>
      </c>
      <c r="AM26">
        <v>19.279</v>
      </c>
      <c r="AN26">
        <v>19.199000000000002</v>
      </c>
      <c r="AO26">
        <v>19.097999999999999</v>
      </c>
      <c r="AP26">
        <v>3.99</v>
      </c>
      <c r="AQ26">
        <v>3.9790000000000001</v>
      </c>
      <c r="AR26">
        <v>4.1749999999999998</v>
      </c>
      <c r="AS26">
        <v>3.8690000000000002</v>
      </c>
      <c r="AT26">
        <v>3.3980000000000001</v>
      </c>
      <c r="AU26">
        <v>3.7410000000000001</v>
      </c>
      <c r="AV26">
        <v>4.5039999999999996</v>
      </c>
      <c r="AW26">
        <v>4.32</v>
      </c>
      <c r="AX26">
        <v>3.7589999999999999</v>
      </c>
      <c r="AY26">
        <v>4.0650000000000004</v>
      </c>
      <c r="AZ26">
        <v>3.5790000000000002</v>
      </c>
      <c r="BA26">
        <v>3.7010000000000001</v>
      </c>
      <c r="BB26">
        <v>3.7170000000000001</v>
      </c>
      <c r="BC26">
        <v>4.1580000000000004</v>
      </c>
    </row>
    <row r="27" spans="2:55" x14ac:dyDescent="0.3">
      <c r="B27">
        <v>3.899</v>
      </c>
      <c r="C27">
        <v>3.9489999999999998</v>
      </c>
      <c r="D27">
        <v>3.7989999999999999</v>
      </c>
      <c r="E27">
        <v>4.125</v>
      </c>
      <c r="F27">
        <v>3.8610000000000002</v>
      </c>
      <c r="G27">
        <v>5.8659999999999997</v>
      </c>
      <c r="H27">
        <v>5.867</v>
      </c>
      <c r="I27">
        <v>5.9260000000000002</v>
      </c>
      <c r="J27">
        <v>5.7169999999999996</v>
      </c>
      <c r="K27">
        <v>6.0490000000000004</v>
      </c>
      <c r="L27">
        <v>8.0009999999999994</v>
      </c>
      <c r="M27">
        <v>8.0660000000000007</v>
      </c>
      <c r="N27">
        <v>7.9960000000000004</v>
      </c>
      <c r="O27">
        <v>8.0510000000000002</v>
      </c>
      <c r="P27">
        <v>7.7649999999999997</v>
      </c>
      <c r="Q27">
        <v>9.11</v>
      </c>
      <c r="R27">
        <v>7.3369999999999997</v>
      </c>
      <c r="S27">
        <v>8.1189999999999998</v>
      </c>
      <c r="T27">
        <v>7.5590000000000002</v>
      </c>
      <c r="U27">
        <v>7.9950000000000001</v>
      </c>
      <c r="V27">
        <v>9.6430000000000007</v>
      </c>
      <c r="W27">
        <v>9.6300000000000008</v>
      </c>
      <c r="X27">
        <v>9.5860000000000003</v>
      </c>
      <c r="Y27">
        <v>9.7880000000000003</v>
      </c>
      <c r="Z27">
        <v>9.4410000000000007</v>
      </c>
      <c r="AA27">
        <v>10.507</v>
      </c>
      <c r="AB27">
        <v>10.635</v>
      </c>
      <c r="AC27">
        <v>10.535</v>
      </c>
      <c r="AD27">
        <v>10.696999999999999</v>
      </c>
      <c r="AE27">
        <v>10.502000000000001</v>
      </c>
      <c r="AF27">
        <v>23.826000000000001</v>
      </c>
      <c r="AG27">
        <v>23.869</v>
      </c>
      <c r="AH27">
        <v>24.152000000000001</v>
      </c>
      <c r="AI27">
        <v>23.263999999999999</v>
      </c>
      <c r="AJ27">
        <v>23.42</v>
      </c>
      <c r="AK27">
        <v>22.111999999999998</v>
      </c>
      <c r="AL27">
        <v>21.62</v>
      </c>
      <c r="AM27">
        <v>21.63</v>
      </c>
      <c r="AN27">
        <v>21.312000000000001</v>
      </c>
      <c r="AO27">
        <v>21.283000000000001</v>
      </c>
      <c r="AP27">
        <v>4.359</v>
      </c>
      <c r="AQ27">
        <v>4.3959999999999999</v>
      </c>
      <c r="AR27">
        <v>4.5860000000000003</v>
      </c>
      <c r="AS27">
        <v>4.2530000000000001</v>
      </c>
      <c r="AT27">
        <v>3.69</v>
      </c>
      <c r="AU27">
        <v>4.1050000000000004</v>
      </c>
      <c r="AV27">
        <v>5.0129999999999999</v>
      </c>
      <c r="AW27">
        <v>4.835</v>
      </c>
      <c r="AX27">
        <v>4.1559999999999997</v>
      </c>
      <c r="AY27">
        <v>4.4409999999999998</v>
      </c>
      <c r="AZ27">
        <v>3.9319999999999999</v>
      </c>
      <c r="BA27">
        <v>4.0960000000000001</v>
      </c>
      <c r="BB27">
        <v>4.09</v>
      </c>
      <c r="BC27">
        <v>4.585</v>
      </c>
    </row>
    <row r="28" spans="2:55" x14ac:dyDescent="0.3">
      <c r="B28">
        <v>4.2569999999999997</v>
      </c>
      <c r="C28">
        <v>4.3780000000000001</v>
      </c>
      <c r="D28">
        <v>4.1639999999999997</v>
      </c>
      <c r="E28">
        <v>4.5670000000000002</v>
      </c>
      <c r="F28">
        <v>4.2309999999999999</v>
      </c>
      <c r="G28">
        <v>6.5869999999999997</v>
      </c>
      <c r="H28">
        <v>6.5439999999999996</v>
      </c>
      <c r="I28">
        <v>6.6749999999999998</v>
      </c>
      <c r="J28">
        <v>6.41</v>
      </c>
      <c r="K28">
        <v>6.7309999999999999</v>
      </c>
      <c r="L28">
        <v>9.1690000000000005</v>
      </c>
      <c r="M28">
        <v>9.1370000000000005</v>
      </c>
      <c r="N28">
        <v>9.0809999999999995</v>
      </c>
      <c r="O28">
        <v>9.1199999999999992</v>
      </c>
      <c r="P28">
        <v>8.9030000000000005</v>
      </c>
      <c r="Q28">
        <v>10.231999999999999</v>
      </c>
      <c r="R28">
        <v>8.375</v>
      </c>
      <c r="S28">
        <v>9.343</v>
      </c>
      <c r="T28">
        <v>8.6449999999999996</v>
      </c>
      <c r="U28">
        <v>9.2460000000000004</v>
      </c>
      <c r="V28">
        <v>10.858000000000001</v>
      </c>
      <c r="W28">
        <v>10.813000000000001</v>
      </c>
      <c r="X28">
        <v>10.821999999999999</v>
      </c>
      <c r="Y28">
        <v>11.007</v>
      </c>
      <c r="Z28">
        <v>10.654</v>
      </c>
      <c r="AA28">
        <v>11.776999999999999</v>
      </c>
      <c r="AB28">
        <v>11.936</v>
      </c>
      <c r="AC28">
        <v>11.839</v>
      </c>
      <c r="AD28">
        <v>11.959</v>
      </c>
      <c r="AE28">
        <v>11.884</v>
      </c>
      <c r="AF28">
        <v>26.300999999999998</v>
      </c>
      <c r="AG28">
        <v>26.367999999999999</v>
      </c>
      <c r="AH28">
        <v>26.626999999999999</v>
      </c>
      <c r="AI28">
        <v>26.024000000000001</v>
      </c>
      <c r="AJ28">
        <v>26.004000000000001</v>
      </c>
      <c r="AK28">
        <v>24.042999999999999</v>
      </c>
      <c r="AL28">
        <v>23.606000000000002</v>
      </c>
      <c r="AM28">
        <v>23.565999999999999</v>
      </c>
      <c r="AN28">
        <v>23.248999999999999</v>
      </c>
      <c r="AO28">
        <v>23.393999999999998</v>
      </c>
      <c r="AP28">
        <v>4.8</v>
      </c>
      <c r="AQ28">
        <v>4.8899999999999997</v>
      </c>
      <c r="AR28">
        <v>5.0709999999999997</v>
      </c>
      <c r="AS28">
        <v>4.7160000000000002</v>
      </c>
      <c r="AT28">
        <v>4.08</v>
      </c>
      <c r="AU28">
        <v>4.5510000000000002</v>
      </c>
      <c r="AV28">
        <v>5.61</v>
      </c>
      <c r="AW28">
        <v>5.4080000000000004</v>
      </c>
      <c r="AX28">
        <v>4.6289999999999996</v>
      </c>
      <c r="AY28">
        <v>4.9729999999999999</v>
      </c>
      <c r="AZ28">
        <v>4.3369999999999997</v>
      </c>
      <c r="BA28">
        <v>4.54</v>
      </c>
      <c r="BB28">
        <v>4.5640000000000001</v>
      </c>
      <c r="BC28">
        <v>5.1360000000000001</v>
      </c>
    </row>
    <row r="29" spans="2:55" x14ac:dyDescent="0.3">
      <c r="B29">
        <v>4.6379999999999999</v>
      </c>
      <c r="C29">
        <v>4.7590000000000003</v>
      </c>
      <c r="D29">
        <v>4.5279999999999996</v>
      </c>
      <c r="E29">
        <v>4.9580000000000002</v>
      </c>
      <c r="F29">
        <v>4.58</v>
      </c>
      <c r="G29">
        <v>7.1639999999999997</v>
      </c>
      <c r="H29">
        <v>7.141</v>
      </c>
      <c r="I29">
        <v>7.35</v>
      </c>
      <c r="J29">
        <v>6.9960000000000004</v>
      </c>
      <c r="K29">
        <v>7.3369999999999997</v>
      </c>
      <c r="L29">
        <v>10.239000000000001</v>
      </c>
      <c r="M29">
        <v>10.114000000000001</v>
      </c>
      <c r="N29">
        <v>10.132999999999999</v>
      </c>
      <c r="O29">
        <v>10.162000000000001</v>
      </c>
      <c r="P29">
        <v>10.006</v>
      </c>
      <c r="Q29">
        <v>11.246</v>
      </c>
      <c r="R29">
        <v>9.6229999999999993</v>
      </c>
      <c r="S29">
        <v>10.567</v>
      </c>
      <c r="T29">
        <v>9.8879999999999999</v>
      </c>
      <c r="U29">
        <v>10.452999999999999</v>
      </c>
      <c r="V29">
        <v>12.231</v>
      </c>
      <c r="W29">
        <v>12.096</v>
      </c>
      <c r="X29">
        <v>12.067</v>
      </c>
      <c r="Y29">
        <v>12.324999999999999</v>
      </c>
      <c r="Z29">
        <v>11.861000000000001</v>
      </c>
      <c r="AA29">
        <v>12.959</v>
      </c>
      <c r="AB29">
        <v>13.157</v>
      </c>
      <c r="AC29">
        <v>13.055999999999999</v>
      </c>
      <c r="AD29">
        <v>13.16</v>
      </c>
      <c r="AE29">
        <v>13.134</v>
      </c>
      <c r="AF29">
        <v>29.004000000000001</v>
      </c>
      <c r="AG29">
        <v>29.009</v>
      </c>
      <c r="AH29">
        <v>28.908000000000001</v>
      </c>
      <c r="AI29">
        <v>28.76</v>
      </c>
      <c r="AJ29">
        <v>28.82</v>
      </c>
      <c r="AK29">
        <v>25.76</v>
      </c>
      <c r="AL29">
        <v>25.343</v>
      </c>
      <c r="AM29">
        <v>25.484999999999999</v>
      </c>
      <c r="AN29">
        <v>25.18</v>
      </c>
      <c r="AO29">
        <v>25.449000000000002</v>
      </c>
      <c r="AP29">
        <v>5.2450000000000001</v>
      </c>
      <c r="AQ29">
        <v>5.4139999999999997</v>
      </c>
      <c r="AR29">
        <v>5.5289999999999999</v>
      </c>
      <c r="AS29">
        <v>5.2149999999999999</v>
      </c>
      <c r="AT29">
        <v>4.5090000000000003</v>
      </c>
      <c r="AU29">
        <v>5.0289999999999999</v>
      </c>
      <c r="AV29">
        <v>6.23</v>
      </c>
      <c r="AW29">
        <v>5.9290000000000003</v>
      </c>
      <c r="AX29">
        <v>5.069</v>
      </c>
      <c r="AY29">
        <v>5.4669999999999996</v>
      </c>
      <c r="AZ29">
        <v>4.7290000000000001</v>
      </c>
      <c r="BA29">
        <v>4.99</v>
      </c>
      <c r="BB29">
        <v>4.9829999999999997</v>
      </c>
      <c r="BC29">
        <v>5.5960000000000001</v>
      </c>
    </row>
    <row r="30" spans="2:55" x14ac:dyDescent="0.3">
      <c r="B30">
        <v>4.9660000000000002</v>
      </c>
      <c r="C30">
        <v>5.0780000000000003</v>
      </c>
      <c r="D30">
        <v>4.8550000000000004</v>
      </c>
      <c r="E30">
        <v>5.2560000000000002</v>
      </c>
      <c r="F30">
        <v>4.9020000000000001</v>
      </c>
      <c r="G30">
        <v>7.5490000000000004</v>
      </c>
      <c r="H30">
        <v>7.5670000000000002</v>
      </c>
      <c r="I30">
        <v>7.7610000000000001</v>
      </c>
      <c r="J30">
        <v>7.3650000000000002</v>
      </c>
      <c r="K30">
        <v>7.7389999999999999</v>
      </c>
      <c r="L30">
        <v>11.08</v>
      </c>
      <c r="M30">
        <v>10.926</v>
      </c>
      <c r="N30">
        <v>10.98</v>
      </c>
      <c r="O30">
        <v>11</v>
      </c>
      <c r="P30">
        <v>10.881</v>
      </c>
      <c r="Q30">
        <v>12.254</v>
      </c>
      <c r="R30">
        <v>10.872999999999999</v>
      </c>
      <c r="S30">
        <v>11.57</v>
      </c>
      <c r="T30">
        <v>11.07</v>
      </c>
      <c r="U30">
        <v>11.526999999999999</v>
      </c>
      <c r="V30">
        <v>13.439</v>
      </c>
      <c r="W30">
        <v>13.275</v>
      </c>
      <c r="X30">
        <v>13.260999999999999</v>
      </c>
      <c r="Y30">
        <v>13.486000000000001</v>
      </c>
      <c r="Z30">
        <v>13.009</v>
      </c>
      <c r="AA30">
        <v>14.054</v>
      </c>
      <c r="AB30">
        <v>14.252000000000001</v>
      </c>
      <c r="AC30">
        <v>14.167</v>
      </c>
      <c r="AD30">
        <v>14.192</v>
      </c>
      <c r="AE30">
        <v>14.143000000000001</v>
      </c>
      <c r="AF30">
        <v>31.756</v>
      </c>
      <c r="AG30">
        <v>31.381</v>
      </c>
      <c r="AH30">
        <v>31.382000000000001</v>
      </c>
      <c r="AI30">
        <v>31.234000000000002</v>
      </c>
      <c r="AJ30">
        <v>31.35</v>
      </c>
      <c r="AK30">
        <v>27.423999999999999</v>
      </c>
      <c r="AL30">
        <v>27.196999999999999</v>
      </c>
      <c r="AM30">
        <v>27.143999999999998</v>
      </c>
      <c r="AN30">
        <v>27.027000000000001</v>
      </c>
      <c r="AO30">
        <v>27.257999999999999</v>
      </c>
      <c r="AP30">
        <v>5.6870000000000003</v>
      </c>
      <c r="AQ30">
        <v>5.8609999999999998</v>
      </c>
      <c r="AR30">
        <v>5.9820000000000002</v>
      </c>
      <c r="AS30">
        <v>5.6509999999999998</v>
      </c>
      <c r="AT30">
        <v>4.9710000000000001</v>
      </c>
      <c r="AU30">
        <v>5.47</v>
      </c>
      <c r="AV30">
        <v>6.8879999999999999</v>
      </c>
      <c r="AW30">
        <v>6.3940000000000001</v>
      </c>
      <c r="AX30">
        <v>5.4980000000000002</v>
      </c>
      <c r="AY30">
        <v>5.9080000000000004</v>
      </c>
      <c r="AZ30">
        <v>5.1529999999999996</v>
      </c>
      <c r="BA30">
        <v>5.4059999999999997</v>
      </c>
      <c r="BB30">
        <v>5.4050000000000002</v>
      </c>
      <c r="BC30">
        <v>6.0609999999999999</v>
      </c>
    </row>
    <row r="31" spans="2:55" x14ac:dyDescent="0.3">
      <c r="B31">
        <v>5.3140000000000001</v>
      </c>
      <c r="C31">
        <v>5.4020000000000001</v>
      </c>
      <c r="D31">
        <v>5.2119999999999997</v>
      </c>
      <c r="E31">
        <v>5.6120000000000001</v>
      </c>
      <c r="F31">
        <v>5.2480000000000002</v>
      </c>
      <c r="G31">
        <v>8.2249999999999996</v>
      </c>
      <c r="H31">
        <v>8.2910000000000004</v>
      </c>
      <c r="I31">
        <v>8.3740000000000006</v>
      </c>
      <c r="J31">
        <v>8.032</v>
      </c>
      <c r="K31">
        <v>8.4529999999999994</v>
      </c>
      <c r="L31">
        <v>12.041</v>
      </c>
      <c r="M31">
        <v>11.983000000000001</v>
      </c>
      <c r="N31">
        <v>11.986000000000001</v>
      </c>
      <c r="O31">
        <v>11.993</v>
      </c>
      <c r="P31">
        <v>11.803000000000001</v>
      </c>
      <c r="Q31">
        <v>13.292999999999999</v>
      </c>
      <c r="R31">
        <v>11.863</v>
      </c>
      <c r="S31">
        <v>12.44</v>
      </c>
      <c r="T31">
        <v>11.988</v>
      </c>
      <c r="U31">
        <v>12.382999999999999</v>
      </c>
      <c r="V31">
        <v>14.454000000000001</v>
      </c>
      <c r="W31">
        <v>14.273</v>
      </c>
      <c r="X31">
        <v>14.288</v>
      </c>
      <c r="Y31">
        <v>14.558</v>
      </c>
      <c r="Z31">
        <v>14.071</v>
      </c>
      <c r="AA31">
        <v>15.124000000000001</v>
      </c>
      <c r="AB31">
        <v>15.260999999999999</v>
      </c>
      <c r="AC31">
        <v>15.193</v>
      </c>
      <c r="AD31">
        <v>15.176</v>
      </c>
      <c r="AE31">
        <v>15.077999999999999</v>
      </c>
      <c r="AF31">
        <v>33.046999999999997</v>
      </c>
      <c r="AG31">
        <v>32.380000000000003</v>
      </c>
      <c r="AH31">
        <v>32.497</v>
      </c>
      <c r="AI31">
        <v>32.363</v>
      </c>
      <c r="AJ31">
        <v>32.524000000000001</v>
      </c>
      <c r="AK31">
        <v>28.265000000000001</v>
      </c>
      <c r="AL31">
        <v>28.085999999999999</v>
      </c>
      <c r="AM31">
        <v>27.99</v>
      </c>
      <c r="AN31">
        <v>27.908000000000001</v>
      </c>
      <c r="AO31">
        <v>28.056000000000001</v>
      </c>
      <c r="AP31">
        <v>6.1669999999999998</v>
      </c>
      <c r="AQ31">
        <v>6.3140000000000001</v>
      </c>
      <c r="AR31">
        <v>6.4589999999999996</v>
      </c>
      <c r="AS31">
        <v>6.1050000000000004</v>
      </c>
      <c r="AT31">
        <v>5.4770000000000003</v>
      </c>
      <c r="AU31">
        <v>5.891</v>
      </c>
      <c r="AV31">
        <v>7.6189999999999998</v>
      </c>
      <c r="AW31">
        <v>6.9379999999999997</v>
      </c>
      <c r="AX31">
        <v>5.9649999999999999</v>
      </c>
      <c r="AY31">
        <v>6.3710000000000004</v>
      </c>
      <c r="AZ31">
        <v>5.617</v>
      </c>
      <c r="BA31">
        <v>5.8410000000000002</v>
      </c>
      <c r="BB31">
        <v>5.86</v>
      </c>
      <c r="BC31">
        <v>6.5670000000000002</v>
      </c>
    </row>
    <row r="32" spans="2:55" x14ac:dyDescent="0.3">
      <c r="B32">
        <v>5.585</v>
      </c>
      <c r="C32">
        <v>5.6779999999999999</v>
      </c>
      <c r="D32">
        <v>5.4720000000000004</v>
      </c>
      <c r="E32">
        <v>5.9550000000000001</v>
      </c>
      <c r="F32">
        <v>5.5270000000000001</v>
      </c>
      <c r="G32">
        <v>9.0950000000000006</v>
      </c>
      <c r="H32">
        <v>9.1630000000000003</v>
      </c>
      <c r="I32">
        <v>9.2370000000000001</v>
      </c>
      <c r="J32">
        <v>8.8309999999999995</v>
      </c>
      <c r="K32">
        <v>9.3520000000000003</v>
      </c>
      <c r="L32">
        <v>13.268000000000001</v>
      </c>
      <c r="M32">
        <v>13.297000000000001</v>
      </c>
      <c r="N32">
        <v>13.167</v>
      </c>
      <c r="O32">
        <v>13.253</v>
      </c>
      <c r="P32">
        <v>12.974</v>
      </c>
      <c r="Q32">
        <v>14.422000000000001</v>
      </c>
      <c r="R32">
        <v>12.661</v>
      </c>
      <c r="S32">
        <v>13.291</v>
      </c>
      <c r="T32">
        <v>12.801</v>
      </c>
      <c r="U32">
        <v>13.195</v>
      </c>
      <c r="V32">
        <v>15.372999999999999</v>
      </c>
      <c r="W32">
        <v>15.272</v>
      </c>
      <c r="X32">
        <v>15.282</v>
      </c>
      <c r="Y32">
        <v>15.583</v>
      </c>
      <c r="Z32">
        <v>15.087</v>
      </c>
      <c r="AA32">
        <v>16.135000000000002</v>
      </c>
      <c r="AB32">
        <v>16.173999999999999</v>
      </c>
      <c r="AC32">
        <v>16.134</v>
      </c>
      <c r="AD32">
        <v>16.207999999999998</v>
      </c>
      <c r="AE32">
        <v>16.042000000000002</v>
      </c>
      <c r="AF32">
        <v>34.14</v>
      </c>
      <c r="AG32">
        <v>33.869999999999997</v>
      </c>
      <c r="AH32">
        <v>33.881999999999998</v>
      </c>
      <c r="AI32">
        <v>33.656999999999996</v>
      </c>
      <c r="AJ32">
        <v>33.707999999999998</v>
      </c>
      <c r="AK32">
        <v>29.076000000000001</v>
      </c>
      <c r="AL32">
        <v>29.007000000000001</v>
      </c>
      <c r="AM32">
        <v>29.001000000000001</v>
      </c>
      <c r="AN32">
        <v>28.834</v>
      </c>
      <c r="AO32">
        <v>29.068000000000001</v>
      </c>
      <c r="AP32">
        <v>6.6879999999999997</v>
      </c>
      <c r="AQ32">
        <v>6.7789999999999999</v>
      </c>
      <c r="AR32">
        <v>6.99</v>
      </c>
      <c r="AS32">
        <v>6.54</v>
      </c>
      <c r="AT32">
        <v>5.9409999999999998</v>
      </c>
      <c r="AU32">
        <v>6.335</v>
      </c>
      <c r="AV32">
        <v>8.4920000000000009</v>
      </c>
      <c r="AW32">
        <v>7.5469999999999997</v>
      </c>
      <c r="AX32">
        <v>6.4489999999999998</v>
      </c>
      <c r="AY32">
        <v>6.8280000000000003</v>
      </c>
      <c r="AZ32">
        <v>6.0339999999999998</v>
      </c>
      <c r="BA32">
        <v>6.2990000000000004</v>
      </c>
      <c r="BB32">
        <v>6.2850000000000001</v>
      </c>
      <c r="BC32">
        <v>7.1459999999999999</v>
      </c>
    </row>
    <row r="33" spans="1:55" x14ac:dyDescent="0.3">
      <c r="B33">
        <v>5.9379999999999997</v>
      </c>
      <c r="C33">
        <v>6.0140000000000002</v>
      </c>
      <c r="D33">
        <v>5.7830000000000004</v>
      </c>
      <c r="E33">
        <v>6.3540000000000001</v>
      </c>
      <c r="F33">
        <v>5.8360000000000003</v>
      </c>
      <c r="G33">
        <v>9.9890000000000008</v>
      </c>
      <c r="H33">
        <v>9.9819999999999993</v>
      </c>
      <c r="I33">
        <v>10.103</v>
      </c>
      <c r="J33">
        <v>9.6590000000000007</v>
      </c>
      <c r="K33">
        <v>10.215999999999999</v>
      </c>
      <c r="L33">
        <v>14.345000000000001</v>
      </c>
      <c r="M33">
        <v>14.401</v>
      </c>
      <c r="N33">
        <v>14.182</v>
      </c>
      <c r="O33">
        <v>14.326000000000001</v>
      </c>
      <c r="P33">
        <v>14.064</v>
      </c>
      <c r="Q33">
        <v>15.587999999999999</v>
      </c>
      <c r="R33">
        <v>13.500999999999999</v>
      </c>
      <c r="S33">
        <v>14.324999999999999</v>
      </c>
      <c r="T33">
        <v>13.693</v>
      </c>
      <c r="U33">
        <v>14.237</v>
      </c>
      <c r="V33">
        <v>16.452999999999999</v>
      </c>
      <c r="W33">
        <v>16.411000000000001</v>
      </c>
      <c r="X33">
        <v>16.402000000000001</v>
      </c>
      <c r="Y33">
        <v>16.670000000000002</v>
      </c>
      <c r="Z33">
        <v>16.227</v>
      </c>
      <c r="AA33">
        <v>17.081</v>
      </c>
      <c r="AB33">
        <v>17.094999999999999</v>
      </c>
      <c r="AC33">
        <v>17.094999999999999</v>
      </c>
      <c r="AD33">
        <v>17.222000000000001</v>
      </c>
      <c r="AE33">
        <v>17.074000000000002</v>
      </c>
      <c r="AF33">
        <v>35.448</v>
      </c>
      <c r="AG33">
        <v>35.313000000000002</v>
      </c>
      <c r="AH33">
        <v>35.256999999999998</v>
      </c>
      <c r="AI33">
        <v>35.091000000000001</v>
      </c>
      <c r="AJ33">
        <v>35.023000000000003</v>
      </c>
      <c r="AK33">
        <v>29.847999999999999</v>
      </c>
      <c r="AL33">
        <v>29.645</v>
      </c>
      <c r="AM33">
        <v>29.826000000000001</v>
      </c>
      <c r="AN33">
        <v>29.512</v>
      </c>
      <c r="AO33">
        <v>29.821999999999999</v>
      </c>
      <c r="AP33">
        <v>7.2249999999999996</v>
      </c>
      <c r="AQ33">
        <v>7.3369999999999997</v>
      </c>
      <c r="AR33">
        <v>7.6189999999999998</v>
      </c>
      <c r="AS33">
        <v>7.0339999999999998</v>
      </c>
      <c r="AT33">
        <v>6.41</v>
      </c>
      <c r="AU33">
        <v>6.78</v>
      </c>
      <c r="AV33">
        <v>9.4920000000000009</v>
      </c>
      <c r="AW33">
        <v>8.3339999999999996</v>
      </c>
      <c r="AX33">
        <v>6.9690000000000003</v>
      </c>
      <c r="AY33">
        <v>7.3789999999999996</v>
      </c>
      <c r="AZ33">
        <v>6.5090000000000003</v>
      </c>
      <c r="BA33">
        <v>6.8179999999999996</v>
      </c>
      <c r="BB33">
        <v>6.7930000000000001</v>
      </c>
      <c r="BC33">
        <v>7.8390000000000004</v>
      </c>
    </row>
    <row r="34" spans="1:55" x14ac:dyDescent="0.3">
      <c r="B34">
        <v>6.3760000000000003</v>
      </c>
      <c r="C34">
        <v>6.5140000000000002</v>
      </c>
      <c r="D34">
        <v>6.2</v>
      </c>
      <c r="E34">
        <v>6.9059999999999997</v>
      </c>
      <c r="F34">
        <v>6.2869999999999999</v>
      </c>
      <c r="G34">
        <v>10.930999999999999</v>
      </c>
      <c r="H34">
        <v>10.837999999999999</v>
      </c>
      <c r="I34">
        <v>11.045</v>
      </c>
      <c r="J34">
        <v>10.536</v>
      </c>
      <c r="K34">
        <v>11.082000000000001</v>
      </c>
      <c r="L34">
        <v>15.459</v>
      </c>
      <c r="M34">
        <v>15.436</v>
      </c>
      <c r="N34">
        <v>15.237</v>
      </c>
      <c r="O34">
        <v>15.378</v>
      </c>
      <c r="P34">
        <v>15.183999999999999</v>
      </c>
      <c r="Q34">
        <v>16.727</v>
      </c>
      <c r="R34">
        <v>14.558999999999999</v>
      </c>
      <c r="S34">
        <v>15.609</v>
      </c>
      <c r="T34">
        <v>14.811</v>
      </c>
      <c r="U34">
        <v>15.513999999999999</v>
      </c>
      <c r="V34">
        <v>17.628</v>
      </c>
      <c r="W34">
        <v>17.591000000000001</v>
      </c>
      <c r="X34">
        <v>17.614000000000001</v>
      </c>
      <c r="Y34">
        <v>17.835999999999999</v>
      </c>
      <c r="Z34">
        <v>17.449000000000002</v>
      </c>
      <c r="AA34">
        <v>18.071000000000002</v>
      </c>
      <c r="AB34">
        <v>18.113</v>
      </c>
      <c r="AC34">
        <v>18.082999999999998</v>
      </c>
      <c r="AD34">
        <v>18.187000000000001</v>
      </c>
      <c r="AE34">
        <v>18.138999999999999</v>
      </c>
      <c r="AF34">
        <v>36.561999999999998</v>
      </c>
      <c r="AG34">
        <v>36.387999999999998</v>
      </c>
      <c r="AH34">
        <v>36.374000000000002</v>
      </c>
      <c r="AI34">
        <v>36.314999999999998</v>
      </c>
      <c r="AJ34">
        <v>36.234999999999999</v>
      </c>
      <c r="AK34">
        <v>30.608000000000001</v>
      </c>
      <c r="AL34">
        <v>30.306999999999999</v>
      </c>
      <c r="AM34">
        <v>30.428000000000001</v>
      </c>
      <c r="AN34">
        <v>30.085999999999999</v>
      </c>
      <c r="AO34">
        <v>30.5</v>
      </c>
      <c r="AP34">
        <v>7.84</v>
      </c>
      <c r="AQ34">
        <v>8.0250000000000004</v>
      </c>
      <c r="AR34">
        <v>8.3520000000000003</v>
      </c>
      <c r="AS34">
        <v>7.6630000000000003</v>
      </c>
      <c r="AT34">
        <v>6.9569999999999999</v>
      </c>
      <c r="AU34">
        <v>7.3609999999999998</v>
      </c>
      <c r="AV34">
        <v>10.606999999999999</v>
      </c>
      <c r="AW34">
        <v>9.2690000000000001</v>
      </c>
      <c r="AX34">
        <v>7.593</v>
      </c>
      <c r="AY34">
        <v>8.0630000000000006</v>
      </c>
      <c r="AZ34">
        <v>7.0490000000000004</v>
      </c>
      <c r="BA34">
        <v>7.4059999999999997</v>
      </c>
      <c r="BB34">
        <v>7.3979999999999997</v>
      </c>
      <c r="BC34">
        <v>8.7430000000000003</v>
      </c>
    </row>
    <row r="35" spans="1:55" x14ac:dyDescent="0.3">
      <c r="B35">
        <v>6.8540000000000001</v>
      </c>
      <c r="C35">
        <v>7.0010000000000003</v>
      </c>
      <c r="D35">
        <v>6.6630000000000003</v>
      </c>
      <c r="E35">
        <v>7.4379999999999997</v>
      </c>
      <c r="F35">
        <v>6.73</v>
      </c>
      <c r="G35">
        <v>11.728</v>
      </c>
      <c r="H35">
        <v>11.613</v>
      </c>
      <c r="I35">
        <v>11.930999999999999</v>
      </c>
      <c r="J35">
        <v>11.32</v>
      </c>
      <c r="K35">
        <v>11.852</v>
      </c>
      <c r="L35">
        <v>16.478999999999999</v>
      </c>
      <c r="M35">
        <v>16.381</v>
      </c>
      <c r="N35">
        <v>16.265999999999998</v>
      </c>
      <c r="O35">
        <v>16.39</v>
      </c>
      <c r="P35">
        <v>16.276</v>
      </c>
      <c r="Q35">
        <v>17.725000000000001</v>
      </c>
      <c r="R35">
        <v>15.824999999999999</v>
      </c>
      <c r="S35">
        <v>16.885999999999999</v>
      </c>
      <c r="T35">
        <v>16.106000000000002</v>
      </c>
      <c r="U35">
        <v>16.77</v>
      </c>
      <c r="V35">
        <v>18.818000000000001</v>
      </c>
      <c r="W35">
        <v>18.751999999999999</v>
      </c>
      <c r="X35">
        <v>18.785</v>
      </c>
      <c r="Y35">
        <v>18.948</v>
      </c>
      <c r="Z35">
        <v>18.606999999999999</v>
      </c>
      <c r="AA35">
        <v>19</v>
      </c>
      <c r="AB35">
        <v>19.081</v>
      </c>
      <c r="AC35">
        <v>19.059999999999999</v>
      </c>
      <c r="AD35">
        <v>19.128</v>
      </c>
      <c r="AE35">
        <v>19.143000000000001</v>
      </c>
      <c r="AF35">
        <v>37.713000000000001</v>
      </c>
      <c r="AG35">
        <v>37.621000000000002</v>
      </c>
      <c r="AH35">
        <v>37.427999999999997</v>
      </c>
      <c r="AI35">
        <v>37.591000000000001</v>
      </c>
      <c r="AJ35">
        <v>37.576000000000001</v>
      </c>
      <c r="AK35">
        <v>31.135999999999999</v>
      </c>
      <c r="AL35">
        <v>30.864999999999998</v>
      </c>
      <c r="AM35">
        <v>30.978000000000002</v>
      </c>
      <c r="AN35">
        <v>30.792999999999999</v>
      </c>
      <c r="AO35">
        <v>31.088000000000001</v>
      </c>
      <c r="AP35">
        <v>8.5109999999999992</v>
      </c>
      <c r="AQ35">
        <v>8.7899999999999991</v>
      </c>
      <c r="AR35">
        <v>9.1229999999999993</v>
      </c>
      <c r="AS35">
        <v>8.3339999999999996</v>
      </c>
      <c r="AT35">
        <v>7.5039999999999996</v>
      </c>
      <c r="AU35">
        <v>7.9470000000000001</v>
      </c>
      <c r="AV35">
        <v>11.776999999999999</v>
      </c>
      <c r="AW35">
        <v>10.223000000000001</v>
      </c>
      <c r="AX35">
        <v>8.2140000000000004</v>
      </c>
      <c r="AY35">
        <v>8.8040000000000003</v>
      </c>
      <c r="AZ35">
        <v>7.57</v>
      </c>
      <c r="BA35">
        <v>7.9850000000000003</v>
      </c>
      <c r="BB35">
        <v>8</v>
      </c>
      <c r="BC35">
        <v>9.702</v>
      </c>
    </row>
    <row r="36" spans="1:55" x14ac:dyDescent="0.3">
      <c r="B36">
        <v>7.3150000000000004</v>
      </c>
      <c r="C36">
        <v>7.4480000000000004</v>
      </c>
      <c r="D36">
        <v>7.1189999999999998</v>
      </c>
      <c r="E36">
        <v>7.8440000000000003</v>
      </c>
      <c r="F36">
        <v>7.1849999999999996</v>
      </c>
      <c r="G36">
        <v>12.275</v>
      </c>
      <c r="H36">
        <v>12.175000000000001</v>
      </c>
      <c r="I36">
        <v>12.516</v>
      </c>
      <c r="J36">
        <v>11.843999999999999</v>
      </c>
      <c r="K36">
        <v>12.39</v>
      </c>
      <c r="L36">
        <v>17.195</v>
      </c>
      <c r="M36">
        <v>17.097999999999999</v>
      </c>
      <c r="N36">
        <v>17.013999999999999</v>
      </c>
      <c r="O36">
        <v>17.12</v>
      </c>
      <c r="P36">
        <v>17.093</v>
      </c>
      <c r="Q36">
        <v>18.704000000000001</v>
      </c>
      <c r="R36">
        <v>17.088000000000001</v>
      </c>
      <c r="S36">
        <v>17.925000000000001</v>
      </c>
      <c r="T36">
        <v>17.311</v>
      </c>
      <c r="U36">
        <v>17.873999999999999</v>
      </c>
      <c r="V36">
        <v>19.759</v>
      </c>
      <c r="W36">
        <v>19.72</v>
      </c>
      <c r="X36">
        <v>19.728999999999999</v>
      </c>
      <c r="Y36">
        <v>19.838999999999999</v>
      </c>
      <c r="Z36">
        <v>19.609000000000002</v>
      </c>
      <c r="AA36">
        <v>19.832999999999998</v>
      </c>
      <c r="AB36">
        <v>19.873999999999999</v>
      </c>
      <c r="AC36">
        <v>19.888000000000002</v>
      </c>
      <c r="AD36">
        <v>19.904</v>
      </c>
      <c r="AE36">
        <v>19.91</v>
      </c>
      <c r="AF36">
        <v>39.164999999999999</v>
      </c>
      <c r="AG36">
        <v>38.771000000000001</v>
      </c>
      <c r="AH36">
        <v>38.755000000000003</v>
      </c>
      <c r="AI36">
        <v>38.965000000000003</v>
      </c>
      <c r="AJ36">
        <v>38.688000000000002</v>
      </c>
      <c r="AK36">
        <v>31.818999999999999</v>
      </c>
      <c r="AL36">
        <v>31.510999999999999</v>
      </c>
      <c r="AM36">
        <v>31.602</v>
      </c>
      <c r="AN36">
        <v>31.364000000000001</v>
      </c>
      <c r="AO36">
        <v>31.742999999999999</v>
      </c>
      <c r="AP36">
        <v>9.2289999999999992</v>
      </c>
      <c r="AQ36">
        <v>9.5950000000000006</v>
      </c>
      <c r="AR36">
        <v>9.9610000000000003</v>
      </c>
      <c r="AS36">
        <v>9.016</v>
      </c>
      <c r="AT36">
        <v>8.08</v>
      </c>
      <c r="AU36">
        <v>8.5449999999999999</v>
      </c>
      <c r="AV36">
        <v>12.907999999999999</v>
      </c>
      <c r="AW36">
        <v>11.217000000000001</v>
      </c>
      <c r="AX36">
        <v>8.8629999999999995</v>
      </c>
      <c r="AY36">
        <v>9.61</v>
      </c>
      <c r="AZ36">
        <v>8.1020000000000003</v>
      </c>
      <c r="BA36">
        <v>8.6159999999999997</v>
      </c>
      <c r="BB36">
        <v>8.5860000000000003</v>
      </c>
      <c r="BC36">
        <v>10.727</v>
      </c>
    </row>
    <row r="37" spans="1:55" x14ac:dyDescent="0.3">
      <c r="B37">
        <v>7.7649999999999997</v>
      </c>
      <c r="C37">
        <v>7.8780000000000001</v>
      </c>
      <c r="D37">
        <v>7.601</v>
      </c>
      <c r="E37">
        <v>8.2710000000000008</v>
      </c>
      <c r="F37">
        <v>7.6609999999999996</v>
      </c>
      <c r="G37">
        <v>13.005000000000001</v>
      </c>
      <c r="H37">
        <v>12.941000000000001</v>
      </c>
      <c r="I37">
        <v>13.180999999999999</v>
      </c>
      <c r="J37">
        <v>12.557</v>
      </c>
      <c r="K37">
        <v>13.125</v>
      </c>
      <c r="L37">
        <v>17.984999999999999</v>
      </c>
      <c r="M37">
        <v>17.963999999999999</v>
      </c>
      <c r="N37">
        <v>17.838000000000001</v>
      </c>
      <c r="O37">
        <v>17.943000000000001</v>
      </c>
      <c r="P37">
        <v>17.873999999999999</v>
      </c>
      <c r="Q37">
        <v>19.687000000000001</v>
      </c>
      <c r="R37">
        <v>18.076000000000001</v>
      </c>
      <c r="S37">
        <v>18.797999999999998</v>
      </c>
      <c r="T37">
        <v>18.251000000000001</v>
      </c>
      <c r="U37">
        <v>18.733000000000001</v>
      </c>
      <c r="V37">
        <v>20.521000000000001</v>
      </c>
      <c r="W37">
        <v>20.466999999999999</v>
      </c>
      <c r="X37">
        <v>20.452999999999999</v>
      </c>
      <c r="Y37">
        <v>20.617999999999999</v>
      </c>
      <c r="Z37">
        <v>20.376999999999999</v>
      </c>
      <c r="AA37">
        <v>20.619</v>
      </c>
      <c r="AB37">
        <v>20.632999999999999</v>
      </c>
      <c r="AC37">
        <v>20.658999999999999</v>
      </c>
      <c r="AD37">
        <v>20.635999999999999</v>
      </c>
      <c r="AE37">
        <v>20.597000000000001</v>
      </c>
      <c r="AF37">
        <v>39.771999999999998</v>
      </c>
      <c r="AG37">
        <v>39.177</v>
      </c>
      <c r="AH37">
        <v>39.347000000000001</v>
      </c>
      <c r="AI37">
        <v>39.468000000000004</v>
      </c>
      <c r="AJ37">
        <v>39.21</v>
      </c>
      <c r="AK37">
        <v>32.040999999999997</v>
      </c>
      <c r="AL37">
        <v>31.765999999999998</v>
      </c>
      <c r="AM37">
        <v>31.936</v>
      </c>
      <c r="AN37">
        <v>31.693999999999999</v>
      </c>
      <c r="AO37">
        <v>31.975000000000001</v>
      </c>
      <c r="AP37">
        <v>10.109</v>
      </c>
      <c r="AQ37">
        <v>10.504</v>
      </c>
      <c r="AR37">
        <v>10.946999999999999</v>
      </c>
      <c r="AS37">
        <v>9.8070000000000004</v>
      </c>
      <c r="AT37">
        <v>8.7059999999999995</v>
      </c>
      <c r="AU37">
        <v>9.2040000000000006</v>
      </c>
      <c r="AV37">
        <v>14.042999999999999</v>
      </c>
      <c r="AW37">
        <v>12.326000000000001</v>
      </c>
      <c r="AX37">
        <v>9.6069999999999993</v>
      </c>
      <c r="AY37">
        <v>10.503</v>
      </c>
      <c r="AZ37">
        <v>8.7249999999999996</v>
      </c>
      <c r="BA37">
        <v>9.3290000000000006</v>
      </c>
      <c r="BB37">
        <v>9.2579999999999991</v>
      </c>
      <c r="BC37">
        <v>11.789</v>
      </c>
    </row>
    <row r="38" spans="1:55" x14ac:dyDescent="0.3">
      <c r="B38">
        <v>8.1639999999999997</v>
      </c>
      <c r="C38">
        <v>8.2520000000000007</v>
      </c>
      <c r="D38">
        <v>7.9939999999999998</v>
      </c>
      <c r="E38">
        <v>8.6739999999999995</v>
      </c>
      <c r="F38">
        <v>8.0649999999999995</v>
      </c>
      <c r="G38">
        <v>13.955</v>
      </c>
      <c r="H38">
        <v>13.859</v>
      </c>
      <c r="I38">
        <v>14.09</v>
      </c>
      <c r="J38">
        <v>13.455</v>
      </c>
      <c r="K38">
        <v>14.082000000000001</v>
      </c>
      <c r="L38">
        <v>18.937999999999999</v>
      </c>
      <c r="M38">
        <v>19.041</v>
      </c>
      <c r="N38">
        <v>18.829000000000001</v>
      </c>
      <c r="O38">
        <v>18.998000000000001</v>
      </c>
      <c r="P38">
        <v>18.866</v>
      </c>
      <c r="Q38">
        <v>20.7</v>
      </c>
      <c r="R38">
        <v>18.885000000000002</v>
      </c>
      <c r="S38">
        <v>19.628</v>
      </c>
      <c r="T38">
        <v>19.068000000000001</v>
      </c>
      <c r="U38">
        <v>19.529</v>
      </c>
      <c r="V38">
        <v>21.204999999999998</v>
      </c>
      <c r="W38">
        <v>21.227</v>
      </c>
      <c r="X38">
        <v>21.177</v>
      </c>
      <c r="Y38">
        <v>21.347000000000001</v>
      </c>
      <c r="Z38">
        <v>21.106999999999999</v>
      </c>
      <c r="AA38">
        <v>21.401</v>
      </c>
      <c r="AB38">
        <v>21.363</v>
      </c>
      <c r="AC38">
        <v>21.41</v>
      </c>
      <c r="AD38">
        <v>21.44</v>
      </c>
      <c r="AE38">
        <v>21.331</v>
      </c>
      <c r="AF38">
        <v>40.356000000000002</v>
      </c>
      <c r="AG38">
        <v>39.991999999999997</v>
      </c>
      <c r="AH38">
        <v>40.055</v>
      </c>
      <c r="AI38">
        <v>40.103999999999999</v>
      </c>
      <c r="AJ38">
        <v>39.985999999999997</v>
      </c>
      <c r="AK38">
        <v>32.320999999999998</v>
      </c>
      <c r="AL38">
        <v>32.149000000000001</v>
      </c>
      <c r="AM38">
        <v>32.363999999999997</v>
      </c>
      <c r="AN38">
        <v>32.158000000000001</v>
      </c>
      <c r="AO38">
        <v>32.420999999999999</v>
      </c>
      <c r="AP38">
        <v>11.095000000000001</v>
      </c>
      <c r="AQ38">
        <v>11.478999999999999</v>
      </c>
      <c r="AR38">
        <v>12.042999999999999</v>
      </c>
      <c r="AS38">
        <v>10.679</v>
      </c>
      <c r="AT38">
        <v>9.3309999999999995</v>
      </c>
      <c r="AU38">
        <v>9.9130000000000003</v>
      </c>
      <c r="AV38">
        <v>15.237</v>
      </c>
      <c r="AW38">
        <v>13.478999999999999</v>
      </c>
      <c r="AX38">
        <v>10.41</v>
      </c>
      <c r="AY38">
        <v>11.521000000000001</v>
      </c>
      <c r="AZ38">
        <v>9.4</v>
      </c>
      <c r="BA38">
        <v>10.122999999999999</v>
      </c>
      <c r="BB38">
        <v>9.9849999999999994</v>
      </c>
      <c r="BC38">
        <v>12.85</v>
      </c>
    </row>
    <row r="39" spans="1:55" x14ac:dyDescent="0.3">
      <c r="B39">
        <v>8.6</v>
      </c>
      <c r="C39">
        <v>8.6880000000000006</v>
      </c>
      <c r="D39">
        <v>8.4269999999999996</v>
      </c>
      <c r="E39">
        <v>9.1319999999999997</v>
      </c>
      <c r="F39">
        <v>8.4830000000000005</v>
      </c>
      <c r="G39">
        <v>14.884</v>
      </c>
      <c r="H39">
        <v>14.709</v>
      </c>
      <c r="I39">
        <v>15.005000000000001</v>
      </c>
      <c r="J39">
        <v>14.334</v>
      </c>
      <c r="K39">
        <v>14.994</v>
      </c>
      <c r="L39">
        <v>19.792000000000002</v>
      </c>
      <c r="M39">
        <v>19.936</v>
      </c>
      <c r="N39">
        <v>19.661999999999999</v>
      </c>
      <c r="O39">
        <v>19.86</v>
      </c>
      <c r="P39">
        <v>19.72</v>
      </c>
      <c r="Q39">
        <v>21.716000000000001</v>
      </c>
      <c r="R39">
        <v>19.706</v>
      </c>
      <c r="S39">
        <v>20.614999999999998</v>
      </c>
      <c r="T39">
        <v>19.923999999999999</v>
      </c>
      <c r="U39">
        <v>20.513999999999999</v>
      </c>
      <c r="V39">
        <v>22.003</v>
      </c>
      <c r="W39">
        <v>22.087</v>
      </c>
      <c r="X39">
        <v>22.047999999999998</v>
      </c>
      <c r="Y39">
        <v>22.114000000000001</v>
      </c>
      <c r="Z39">
        <v>21.994</v>
      </c>
      <c r="AA39">
        <v>22.16</v>
      </c>
      <c r="AB39">
        <v>22.088000000000001</v>
      </c>
      <c r="AC39">
        <v>22.161999999999999</v>
      </c>
      <c r="AD39">
        <v>22.228000000000002</v>
      </c>
      <c r="AE39">
        <v>22.15</v>
      </c>
      <c r="AF39">
        <v>41.093000000000004</v>
      </c>
      <c r="AG39">
        <v>40.749000000000002</v>
      </c>
      <c r="AH39">
        <v>40.902000000000001</v>
      </c>
      <c r="AI39">
        <v>40.683</v>
      </c>
      <c r="AJ39">
        <v>40.692</v>
      </c>
      <c r="AK39">
        <v>32.652000000000001</v>
      </c>
      <c r="AL39">
        <v>32.380000000000003</v>
      </c>
      <c r="AM39">
        <v>32.694000000000003</v>
      </c>
      <c r="AN39">
        <v>32.356999999999999</v>
      </c>
      <c r="AO39">
        <v>32.671999999999997</v>
      </c>
      <c r="AP39">
        <v>12.179</v>
      </c>
      <c r="AQ39">
        <v>12.568</v>
      </c>
      <c r="AR39">
        <v>13.289</v>
      </c>
      <c r="AS39">
        <v>11.664999999999999</v>
      </c>
      <c r="AT39">
        <v>10.034000000000001</v>
      </c>
      <c r="AU39">
        <v>10.725</v>
      </c>
      <c r="AV39">
        <v>16.507000000000001</v>
      </c>
      <c r="AW39">
        <v>14.707000000000001</v>
      </c>
      <c r="AX39">
        <v>11.41</v>
      </c>
      <c r="AY39">
        <v>12.651</v>
      </c>
      <c r="AZ39">
        <v>10.157</v>
      </c>
      <c r="BA39">
        <v>11.01</v>
      </c>
      <c r="BB39">
        <v>10.88</v>
      </c>
      <c r="BC39">
        <v>13.973000000000001</v>
      </c>
    </row>
    <row r="40" spans="1:55" x14ac:dyDescent="0.3">
      <c r="B40">
        <v>9.1479999999999997</v>
      </c>
      <c r="C40">
        <v>9.2629999999999999</v>
      </c>
      <c r="D40">
        <v>8.9350000000000005</v>
      </c>
      <c r="E40">
        <v>9.7430000000000003</v>
      </c>
      <c r="F40">
        <v>9.02</v>
      </c>
      <c r="G40">
        <v>15.826000000000001</v>
      </c>
      <c r="H40">
        <v>15.593</v>
      </c>
      <c r="I40">
        <v>15.984999999999999</v>
      </c>
      <c r="J40">
        <v>15.243</v>
      </c>
      <c r="K40">
        <v>15.888</v>
      </c>
      <c r="L40">
        <v>20.748000000000001</v>
      </c>
      <c r="M40">
        <v>20.785</v>
      </c>
      <c r="N40">
        <v>20.538</v>
      </c>
      <c r="O40">
        <v>20.768000000000001</v>
      </c>
      <c r="P40">
        <v>20.638999999999999</v>
      </c>
      <c r="Q40">
        <v>22.645</v>
      </c>
      <c r="R40">
        <v>20.681999999999999</v>
      </c>
      <c r="S40">
        <v>21.789000000000001</v>
      </c>
      <c r="T40">
        <v>20.959</v>
      </c>
      <c r="U40">
        <v>21.678000000000001</v>
      </c>
      <c r="V40">
        <v>22.837</v>
      </c>
      <c r="W40">
        <v>22.942</v>
      </c>
      <c r="X40">
        <v>22.934000000000001</v>
      </c>
      <c r="Y40">
        <v>22.934999999999999</v>
      </c>
      <c r="Z40">
        <v>22.9</v>
      </c>
      <c r="AA40">
        <v>22.937000000000001</v>
      </c>
      <c r="AB40">
        <v>22.893999999999998</v>
      </c>
      <c r="AC40">
        <v>22.911000000000001</v>
      </c>
      <c r="AD40">
        <v>22.986000000000001</v>
      </c>
      <c r="AE40">
        <v>22.992000000000001</v>
      </c>
      <c r="AF40">
        <v>41.673999999999999</v>
      </c>
      <c r="AG40">
        <v>41.314999999999998</v>
      </c>
      <c r="AH40">
        <v>41.531999999999996</v>
      </c>
      <c r="AI40">
        <v>41.197000000000003</v>
      </c>
      <c r="AJ40">
        <v>41.213000000000001</v>
      </c>
      <c r="AK40">
        <v>32.956000000000003</v>
      </c>
      <c r="AL40">
        <v>32.561999999999998</v>
      </c>
      <c r="AM40">
        <v>32.857999999999997</v>
      </c>
      <c r="AN40">
        <v>32.518000000000001</v>
      </c>
      <c r="AO40">
        <v>32.868000000000002</v>
      </c>
      <c r="AP40">
        <v>13.468</v>
      </c>
      <c r="AQ40">
        <v>13.836</v>
      </c>
      <c r="AR40">
        <v>14.63</v>
      </c>
      <c r="AS40">
        <v>12.811</v>
      </c>
      <c r="AT40">
        <v>10.815</v>
      </c>
      <c r="AU40">
        <v>11.688000000000001</v>
      </c>
      <c r="AV40">
        <v>17.853999999999999</v>
      </c>
      <c r="AW40">
        <v>16.099</v>
      </c>
      <c r="AX40">
        <v>12.576000000000001</v>
      </c>
      <c r="AY40">
        <v>13.946999999999999</v>
      </c>
      <c r="AZ40">
        <v>11.064</v>
      </c>
      <c r="BA40">
        <v>12.032999999999999</v>
      </c>
      <c r="BB40">
        <v>11.923</v>
      </c>
      <c r="BC40">
        <v>15.225</v>
      </c>
    </row>
    <row r="41" spans="1:55" x14ac:dyDescent="0.3">
      <c r="B41">
        <v>9.7070000000000007</v>
      </c>
      <c r="C41">
        <v>9.8290000000000006</v>
      </c>
      <c r="D41">
        <v>9.4960000000000004</v>
      </c>
      <c r="E41">
        <v>10.369</v>
      </c>
      <c r="F41">
        <v>9.5820000000000007</v>
      </c>
      <c r="G41">
        <v>16.640999999999998</v>
      </c>
      <c r="H41">
        <v>16.434999999999999</v>
      </c>
      <c r="I41">
        <v>16.902000000000001</v>
      </c>
      <c r="J41">
        <v>16.053000000000001</v>
      </c>
      <c r="K41">
        <v>16.692</v>
      </c>
      <c r="L41">
        <v>21.564</v>
      </c>
      <c r="M41">
        <v>21.547999999999998</v>
      </c>
      <c r="N41">
        <v>21.364000000000001</v>
      </c>
      <c r="O41">
        <v>21.588000000000001</v>
      </c>
      <c r="P41">
        <v>21.553999999999998</v>
      </c>
      <c r="Q41">
        <v>23.436</v>
      </c>
      <c r="R41">
        <v>21.843</v>
      </c>
      <c r="S41">
        <v>22.896000000000001</v>
      </c>
      <c r="T41">
        <v>22.145</v>
      </c>
      <c r="U41">
        <v>22.791</v>
      </c>
      <c r="V41">
        <v>23.699000000000002</v>
      </c>
      <c r="W41">
        <v>23.741</v>
      </c>
      <c r="X41">
        <v>23.745999999999999</v>
      </c>
      <c r="Y41">
        <v>23.736999999999998</v>
      </c>
      <c r="Z41">
        <v>23.701000000000001</v>
      </c>
      <c r="AA41">
        <v>23.681999999999999</v>
      </c>
      <c r="AB41">
        <v>23.655000000000001</v>
      </c>
      <c r="AC41">
        <v>23.637</v>
      </c>
      <c r="AD41">
        <v>23.742999999999999</v>
      </c>
      <c r="AE41">
        <v>23.757000000000001</v>
      </c>
      <c r="AF41">
        <v>42.162999999999997</v>
      </c>
      <c r="AG41">
        <v>41.966000000000001</v>
      </c>
      <c r="AH41">
        <v>41.912999999999997</v>
      </c>
      <c r="AI41">
        <v>41.896000000000001</v>
      </c>
      <c r="AJ41">
        <v>41.779000000000003</v>
      </c>
      <c r="AK41">
        <v>33.097000000000001</v>
      </c>
      <c r="AL41">
        <v>32.72</v>
      </c>
      <c r="AM41">
        <v>33.023000000000003</v>
      </c>
      <c r="AN41">
        <v>32.750999999999998</v>
      </c>
      <c r="AO41">
        <v>33.1</v>
      </c>
      <c r="AP41">
        <v>14.785</v>
      </c>
      <c r="AQ41">
        <v>15.195</v>
      </c>
      <c r="AR41">
        <v>15.904999999999999</v>
      </c>
      <c r="AS41">
        <v>14.055</v>
      </c>
      <c r="AT41">
        <v>11.679</v>
      </c>
      <c r="AU41">
        <v>12.787000000000001</v>
      </c>
      <c r="AV41">
        <v>19.276</v>
      </c>
      <c r="AW41">
        <v>17.43</v>
      </c>
      <c r="AX41">
        <v>13.901</v>
      </c>
      <c r="AY41">
        <v>15.282999999999999</v>
      </c>
      <c r="AZ41">
        <v>12.07</v>
      </c>
      <c r="BA41">
        <v>13.255000000000001</v>
      </c>
      <c r="BB41">
        <v>13.082000000000001</v>
      </c>
      <c r="BC41">
        <v>16.542000000000002</v>
      </c>
    </row>
    <row r="42" spans="1:55" x14ac:dyDescent="0.3">
      <c r="B42">
        <v>10.239000000000001</v>
      </c>
      <c r="C42">
        <v>10.356999999999999</v>
      </c>
      <c r="D42">
        <v>10.047000000000001</v>
      </c>
      <c r="E42">
        <v>10.856999999999999</v>
      </c>
      <c r="F42">
        <v>10.113</v>
      </c>
      <c r="G42">
        <v>17.181000000000001</v>
      </c>
      <c r="H42">
        <v>17.010999999999999</v>
      </c>
      <c r="I42">
        <v>17.542000000000002</v>
      </c>
      <c r="J42">
        <v>16.620999999999999</v>
      </c>
      <c r="K42">
        <v>17.236999999999998</v>
      </c>
      <c r="L42">
        <v>22.126000000000001</v>
      </c>
      <c r="M42">
        <v>22.105</v>
      </c>
      <c r="N42">
        <v>21.960999999999999</v>
      </c>
      <c r="O42">
        <v>22.148</v>
      </c>
      <c r="P42">
        <v>22.187000000000001</v>
      </c>
      <c r="Q42">
        <v>24.202000000000002</v>
      </c>
      <c r="R42">
        <v>22.954999999999998</v>
      </c>
      <c r="S42">
        <v>23.741</v>
      </c>
      <c r="T42">
        <v>23.213999999999999</v>
      </c>
      <c r="U42">
        <v>23.725000000000001</v>
      </c>
      <c r="V42">
        <v>24.4</v>
      </c>
      <c r="W42">
        <v>24.396999999999998</v>
      </c>
      <c r="X42">
        <v>24.396999999999998</v>
      </c>
      <c r="Y42">
        <v>24.38</v>
      </c>
      <c r="Z42">
        <v>24.346</v>
      </c>
      <c r="AA42">
        <v>24.361000000000001</v>
      </c>
      <c r="AB42">
        <v>24.294</v>
      </c>
      <c r="AC42">
        <v>24.292999999999999</v>
      </c>
      <c r="AD42">
        <v>24.379000000000001</v>
      </c>
      <c r="AE42">
        <v>24.346</v>
      </c>
      <c r="AF42">
        <v>42.914999999999999</v>
      </c>
      <c r="AG42">
        <v>42.576000000000001</v>
      </c>
      <c r="AH42">
        <v>42.597000000000001</v>
      </c>
      <c r="AI42">
        <v>42.654000000000003</v>
      </c>
      <c r="AJ42">
        <v>42.381</v>
      </c>
      <c r="AK42">
        <v>33.328000000000003</v>
      </c>
      <c r="AL42">
        <v>33.006</v>
      </c>
      <c r="AM42">
        <v>33.262</v>
      </c>
      <c r="AN42">
        <v>32.979999999999997</v>
      </c>
      <c r="AO42">
        <v>33.277999999999999</v>
      </c>
      <c r="AP42">
        <v>16.052</v>
      </c>
      <c r="AQ42">
        <v>16.527000000000001</v>
      </c>
      <c r="AR42">
        <v>17.093</v>
      </c>
      <c r="AS42">
        <v>15.301</v>
      </c>
      <c r="AT42">
        <v>12.676</v>
      </c>
      <c r="AU42">
        <v>14.016999999999999</v>
      </c>
      <c r="AV42">
        <v>20.568000000000001</v>
      </c>
      <c r="AW42">
        <v>18.699000000000002</v>
      </c>
      <c r="AX42">
        <v>15.266</v>
      </c>
      <c r="AY42">
        <v>16.579999999999998</v>
      </c>
      <c r="AZ42">
        <v>13.175000000000001</v>
      </c>
      <c r="BA42">
        <v>14.515000000000001</v>
      </c>
      <c r="BB42">
        <v>14.331</v>
      </c>
      <c r="BC42">
        <v>17.88</v>
      </c>
    </row>
    <row r="43" spans="1:55" x14ac:dyDescent="0.3">
      <c r="B43">
        <v>10.776999999999999</v>
      </c>
      <c r="C43">
        <v>10.853</v>
      </c>
      <c r="D43">
        <v>10.614000000000001</v>
      </c>
      <c r="E43">
        <v>11.343999999999999</v>
      </c>
      <c r="F43">
        <v>10.651</v>
      </c>
      <c r="G43">
        <v>17.895</v>
      </c>
      <c r="H43">
        <v>17.728000000000002</v>
      </c>
      <c r="I43">
        <v>18.167000000000002</v>
      </c>
      <c r="J43">
        <v>17.314</v>
      </c>
      <c r="K43">
        <v>17.925999999999998</v>
      </c>
      <c r="L43">
        <v>22.765000000000001</v>
      </c>
      <c r="M43">
        <v>22.818999999999999</v>
      </c>
      <c r="N43">
        <v>22.675000000000001</v>
      </c>
      <c r="O43">
        <v>22.821000000000002</v>
      </c>
      <c r="P43">
        <v>22.809000000000001</v>
      </c>
      <c r="Q43">
        <v>24.884</v>
      </c>
      <c r="R43">
        <v>23.812000000000001</v>
      </c>
      <c r="S43">
        <v>24.404</v>
      </c>
      <c r="T43">
        <v>23.99</v>
      </c>
      <c r="U43">
        <v>24.359000000000002</v>
      </c>
      <c r="V43">
        <v>24.966000000000001</v>
      </c>
      <c r="W43">
        <v>24.902999999999999</v>
      </c>
      <c r="X43">
        <v>24.904</v>
      </c>
      <c r="Y43">
        <v>24.959</v>
      </c>
      <c r="Z43">
        <v>24.876000000000001</v>
      </c>
      <c r="AA43">
        <v>24.995999999999999</v>
      </c>
      <c r="AB43">
        <v>24.93</v>
      </c>
      <c r="AC43">
        <v>24.93</v>
      </c>
      <c r="AD43">
        <v>24.954999999999998</v>
      </c>
      <c r="AE43">
        <v>24.882999999999999</v>
      </c>
      <c r="AF43">
        <v>43.293999999999997</v>
      </c>
      <c r="AG43">
        <v>42.792999999999999</v>
      </c>
      <c r="AH43">
        <v>42.984000000000002</v>
      </c>
      <c r="AI43">
        <v>42.902000000000001</v>
      </c>
      <c r="AJ43">
        <v>42.634999999999998</v>
      </c>
      <c r="AK43">
        <v>33.414000000000001</v>
      </c>
      <c r="AL43">
        <v>33.116</v>
      </c>
      <c r="AM43">
        <v>33.4</v>
      </c>
      <c r="AN43">
        <v>33.094000000000001</v>
      </c>
      <c r="AO43">
        <v>33.372</v>
      </c>
      <c r="AP43">
        <v>17.402000000000001</v>
      </c>
      <c r="AQ43">
        <v>17.844999999999999</v>
      </c>
      <c r="AR43">
        <v>18.335000000000001</v>
      </c>
      <c r="AS43">
        <v>16.545999999999999</v>
      </c>
      <c r="AT43">
        <v>13.752000000000001</v>
      </c>
      <c r="AU43">
        <v>15.298</v>
      </c>
      <c r="AV43">
        <v>21.811</v>
      </c>
      <c r="AW43">
        <v>20.007999999999999</v>
      </c>
      <c r="AX43">
        <v>16.634</v>
      </c>
      <c r="AY43">
        <v>17.855</v>
      </c>
      <c r="AZ43">
        <v>14.385999999999999</v>
      </c>
      <c r="BA43">
        <v>15.76</v>
      </c>
      <c r="BB43">
        <v>15.632999999999999</v>
      </c>
      <c r="BC43">
        <v>19.175999999999998</v>
      </c>
    </row>
    <row r="48" spans="1:55" x14ac:dyDescent="0.3">
      <c r="A48" t="s">
        <v>70</v>
      </c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</row>
    <row r="49" spans="1:55" x14ac:dyDescent="0.3">
      <c r="A49" t="s">
        <v>71</v>
      </c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</row>
    <row r="50" spans="1:55" x14ac:dyDescent="0.3">
      <c r="A50" t="s">
        <v>72</v>
      </c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</row>
    <row r="51" spans="1:55" x14ac:dyDescent="0.3">
      <c r="A51" t="s">
        <v>73</v>
      </c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</row>
    <row r="52" spans="1:55" x14ac:dyDescent="0.3">
      <c r="A52" t="s">
        <v>74</v>
      </c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</row>
    <row r="53" spans="1:55" x14ac:dyDescent="0.3">
      <c r="A53" t="s">
        <v>75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B53" t="s">
        <v>14</v>
      </c>
      <c r="AC53" t="s">
        <v>14</v>
      </c>
      <c r="AD53" t="s">
        <v>14</v>
      </c>
      <c r="AE53" t="s">
        <v>14</v>
      </c>
      <c r="AF53" t="s">
        <v>14</v>
      </c>
      <c r="AG53" t="s">
        <v>14</v>
      </c>
      <c r="AH53" t="s">
        <v>14</v>
      </c>
      <c r="AI53" t="s">
        <v>14</v>
      </c>
      <c r="AJ53" t="s">
        <v>14</v>
      </c>
      <c r="AK53" t="s">
        <v>14</v>
      </c>
      <c r="AL53" t="s">
        <v>14</v>
      </c>
      <c r="AM53" t="s">
        <v>14</v>
      </c>
      <c r="AN53" t="s">
        <v>14</v>
      </c>
      <c r="AO53" t="s">
        <v>14</v>
      </c>
      <c r="AP53" t="s">
        <v>14</v>
      </c>
      <c r="AQ53" t="s">
        <v>14</v>
      </c>
      <c r="AR53" t="s">
        <v>14</v>
      </c>
      <c r="AS53" t="s">
        <v>14</v>
      </c>
      <c r="AT53" t="s">
        <v>14</v>
      </c>
      <c r="AU53" t="s">
        <v>14</v>
      </c>
      <c r="AV53" t="s">
        <v>14</v>
      </c>
      <c r="AW53" t="s">
        <v>14</v>
      </c>
      <c r="AX53" t="s">
        <v>14</v>
      </c>
      <c r="AY53" t="s">
        <v>14</v>
      </c>
      <c r="AZ53" t="s">
        <v>14</v>
      </c>
      <c r="BA53" t="s">
        <v>14</v>
      </c>
      <c r="BB53" t="s">
        <v>14</v>
      </c>
      <c r="BC53" t="s">
        <v>14</v>
      </c>
    </row>
    <row r="54" spans="1:55" x14ac:dyDescent="0.3">
      <c r="A54" t="s">
        <v>76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</row>
    <row r="55" spans="1:55" x14ac:dyDescent="0.3">
      <c r="A55" t="s">
        <v>77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</row>
    <row r="56" spans="1:55" x14ac:dyDescent="0.3">
      <c r="A56" t="s">
        <v>78</v>
      </c>
      <c r="B56">
        <v>2</v>
      </c>
      <c r="C56">
        <v>2</v>
      </c>
      <c r="D56">
        <v>2</v>
      </c>
      <c r="E56">
        <v>2</v>
      </c>
      <c r="F56">
        <v>2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2</v>
      </c>
      <c r="R56">
        <v>2</v>
      </c>
      <c r="S56">
        <v>2</v>
      </c>
      <c r="T56">
        <v>2</v>
      </c>
      <c r="U56">
        <v>2</v>
      </c>
      <c r="V56">
        <v>4</v>
      </c>
      <c r="W56">
        <v>4</v>
      </c>
      <c r="X56">
        <v>4</v>
      </c>
      <c r="Y56">
        <v>4</v>
      </c>
      <c r="Z56">
        <v>4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</row>
    <row r="57" spans="1:55" x14ac:dyDescent="0.3">
      <c r="A57" t="s">
        <v>79</v>
      </c>
      <c r="B57">
        <v>4</v>
      </c>
      <c r="C57">
        <v>4</v>
      </c>
      <c r="D57">
        <v>4</v>
      </c>
      <c r="E57">
        <v>4</v>
      </c>
      <c r="F57">
        <v>4</v>
      </c>
      <c r="G57">
        <v>2</v>
      </c>
      <c r="H57">
        <v>2</v>
      </c>
      <c r="I57">
        <v>2</v>
      </c>
      <c r="J57">
        <v>2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</row>
    <row r="58" spans="1:55" x14ac:dyDescent="0.3">
      <c r="A58" t="s">
        <v>80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30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30</v>
      </c>
      <c r="AO58">
        <v>30</v>
      </c>
      <c r="AP58">
        <v>30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</row>
    <row r="59" spans="1:55" x14ac:dyDescent="0.3">
      <c r="A59" t="s">
        <v>81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</row>
    <row r="60" spans="1:55" x14ac:dyDescent="0.3">
      <c r="A60" t="s">
        <v>82</v>
      </c>
      <c r="B60" t="s">
        <v>15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15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15</v>
      </c>
      <c r="AG60" t="s">
        <v>15</v>
      </c>
      <c r="AH60" t="s">
        <v>15</v>
      </c>
      <c r="AI60" t="s">
        <v>15</v>
      </c>
      <c r="AJ60" t="s">
        <v>15</v>
      </c>
      <c r="AK60" t="s">
        <v>69</v>
      </c>
      <c r="AL60" t="s">
        <v>69</v>
      </c>
      <c r="AM60" t="s">
        <v>69</v>
      </c>
      <c r="AN60" t="s">
        <v>69</v>
      </c>
      <c r="AO60" t="s">
        <v>69</v>
      </c>
      <c r="AP60" t="s">
        <v>15</v>
      </c>
      <c r="AQ60" t="s">
        <v>15</v>
      </c>
      <c r="AR60" t="s">
        <v>15</v>
      </c>
      <c r="AS60" t="s">
        <v>15</v>
      </c>
      <c r="AT60" t="s">
        <v>15</v>
      </c>
      <c r="AU60" t="s">
        <v>15</v>
      </c>
      <c r="AV60" t="s">
        <v>15</v>
      </c>
      <c r="AW60" t="s">
        <v>15</v>
      </c>
      <c r="AX60" t="s">
        <v>15</v>
      </c>
      <c r="AY60" t="s">
        <v>15</v>
      </c>
      <c r="AZ60" t="s">
        <v>15</v>
      </c>
      <c r="BA60" t="s">
        <v>15</v>
      </c>
      <c r="BB60" t="s">
        <v>15</v>
      </c>
      <c r="BC60" t="s">
        <v>15</v>
      </c>
    </row>
    <row r="62" spans="1:55" x14ac:dyDescent="0.3">
      <c r="A62" t="s">
        <v>93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90</v>
      </c>
      <c r="AG62" t="s">
        <v>90</v>
      </c>
      <c r="AH62" t="s">
        <v>90</v>
      </c>
      <c r="AI62" t="s">
        <v>90</v>
      </c>
      <c r="AJ62" t="s">
        <v>90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</row>
    <row r="63" spans="1:55" x14ac:dyDescent="0.3">
      <c r="A63" t="s">
        <v>83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9</v>
      </c>
      <c r="AQ63">
        <v>9</v>
      </c>
      <c r="AR63">
        <v>9</v>
      </c>
      <c r="AS63">
        <v>9</v>
      </c>
      <c r="AT6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baseCase_ECs</vt:lpstr>
      <vt:lpstr>baseCase_projects</vt:lpstr>
      <vt:lpstr>baseCase_installedCap</vt:lpstr>
      <vt:lpstr>baseCase_percMembers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2025-10-01T10:45:45Z</dcterms:modified>
</cp:coreProperties>
</file>